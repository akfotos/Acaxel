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highcrestschool-my.sharepoint.com/personal/admin_highcrest_edu_gh/Documents/Fees_Payments/2025_2026/"/>
    </mc:Choice>
  </mc:AlternateContent>
  <xr:revisionPtr revIDLastSave="1269" documentId="8_{B3D19A69-ACF6-41A7-89D2-78F4E037D543}" xr6:coauthVersionLast="47" xr6:coauthVersionMax="47" xr10:uidLastSave="{A57080E1-1658-4B6F-B08E-85ABC9D155B2}"/>
  <bookViews>
    <workbookView xWindow="-120" yWindow="-120" windowWidth="20730" windowHeight="11160" tabRatio="500" firstSheet="9" activeTab="11" xr2:uid="{00000000-000D-0000-FFFF-FFFF00000000}"/>
  </bookViews>
  <sheets>
    <sheet name="Fee Schedule 2025-26" sheetId="1" r:id="rId1"/>
    <sheet name="Summary" sheetId="2" r:id="rId2"/>
    <sheet name="Crèche - Robins" sheetId="3" r:id="rId3"/>
    <sheet name="Crèche - Payments" sheetId="4" r:id="rId4"/>
    <sheet name="Nursery 1 - Starlings" sheetId="5" r:id="rId5"/>
    <sheet name="Nursery 1 - Payments" sheetId="6" r:id="rId6"/>
    <sheet name="Nursery 2 - Goldfinches" sheetId="7" r:id="rId7"/>
    <sheet name="Nursery 2 - Payments" sheetId="8" r:id="rId8"/>
    <sheet name="KG 1 - Kingfishers" sheetId="9" r:id="rId9"/>
    <sheet name="KG 1 - Payments" sheetId="10" r:id="rId10"/>
    <sheet name="KG 2 - Hawks" sheetId="11" r:id="rId11"/>
    <sheet name="KG 2 - Payments" sheetId="12" r:id="rId12"/>
    <sheet name="Grade 1 - Skylarks" sheetId="13" r:id="rId13"/>
    <sheet name="Grade 1 - Payments" sheetId="14" r:id="rId14"/>
    <sheet name="Grade 2 - Kestrels" sheetId="15" r:id="rId15"/>
    <sheet name="Grade 2 - Payments" sheetId="16" r:id="rId16"/>
    <sheet name="Grade 3 - Woodpeckers" sheetId="17" r:id="rId17"/>
    <sheet name="Grade 3 - Payments" sheetId="18" r:id="rId18"/>
    <sheet name="Grade 4 - Nightingales" sheetId="19" r:id="rId19"/>
    <sheet name="Grade 4 - Payments" sheetId="20" r:id="rId20"/>
    <sheet name="Grade 5 - Falcons" sheetId="21" r:id="rId21"/>
    <sheet name="Grade 5 - Payments" sheetId="22" r:id="rId22"/>
    <sheet name="Debtors" sheetId="24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9" i="11" l="1"/>
  <c r="I11" i="16"/>
  <c r="P14" i="3"/>
  <c r="I12" i="16"/>
  <c r="I13" i="16" s="1"/>
  <c r="I14" i="16" s="1"/>
  <c r="I15" i="16" s="1"/>
  <c r="I16" i="16" s="1"/>
  <c r="I17" i="16" s="1"/>
  <c r="L14" i="11"/>
  <c r="P14" i="11" s="1"/>
  <c r="G14" i="11"/>
  <c r="G13" i="11"/>
  <c r="L13" i="11"/>
  <c r="G12" i="11"/>
  <c r="L12" i="11"/>
  <c r="G11" i="11"/>
  <c r="L11" i="11"/>
  <c r="P11" i="11" s="1"/>
  <c r="G10" i="11"/>
  <c r="L10" i="11"/>
  <c r="G9" i="11"/>
  <c r="G8" i="11"/>
  <c r="L8" i="11"/>
  <c r="O8" i="11"/>
  <c r="G5" i="11"/>
  <c r="L5" i="11"/>
  <c r="O5" i="11"/>
  <c r="O8" i="7"/>
  <c r="L8" i="7"/>
  <c r="G8" i="7"/>
  <c r="L9" i="15"/>
  <c r="F181" i="22"/>
  <c r="E181" i="22"/>
  <c r="D181" i="22"/>
  <c r="C181" i="22"/>
  <c r="B181" i="22"/>
  <c r="F180" i="22"/>
  <c r="E180" i="22"/>
  <c r="D180" i="22"/>
  <c r="C180" i="22"/>
  <c r="B180" i="22"/>
  <c r="F179" i="22"/>
  <c r="E179" i="22"/>
  <c r="D179" i="22"/>
  <c r="C179" i="22"/>
  <c r="B179" i="22"/>
  <c r="F178" i="22"/>
  <c r="E178" i="22"/>
  <c r="D178" i="22"/>
  <c r="C178" i="22"/>
  <c r="B178" i="22"/>
  <c r="G172" i="22"/>
  <c r="F172" i="22"/>
  <c r="E172" i="22"/>
  <c r="D172" i="22"/>
  <c r="C172" i="22"/>
  <c r="G171" i="22"/>
  <c r="F171" i="22"/>
  <c r="E171" i="22"/>
  <c r="D171" i="22"/>
  <c r="C171" i="22"/>
  <c r="G170" i="22"/>
  <c r="F170" i="22"/>
  <c r="E170" i="22"/>
  <c r="D170" i="22"/>
  <c r="C170" i="22"/>
  <c r="G169" i="22"/>
  <c r="F169" i="22"/>
  <c r="E169" i="22"/>
  <c r="D169" i="22"/>
  <c r="C169" i="22"/>
  <c r="G168" i="22"/>
  <c r="F168" i="22"/>
  <c r="E168" i="22"/>
  <c r="D168" i="22"/>
  <c r="C168" i="22"/>
  <c r="G167" i="22"/>
  <c r="F167" i="22"/>
  <c r="E167" i="22"/>
  <c r="D167" i="22"/>
  <c r="C167" i="22"/>
  <c r="G166" i="22"/>
  <c r="F166" i="22"/>
  <c r="E166" i="22"/>
  <c r="D166" i="22"/>
  <c r="C166" i="22"/>
  <c r="G165" i="22"/>
  <c r="F165" i="22"/>
  <c r="E165" i="22"/>
  <c r="D165" i="22"/>
  <c r="C165" i="22"/>
  <c r="G164" i="22"/>
  <c r="F164" i="22"/>
  <c r="E164" i="22"/>
  <c r="D164" i="22"/>
  <c r="C164" i="22"/>
  <c r="G163" i="22"/>
  <c r="F163" i="22"/>
  <c r="E163" i="22"/>
  <c r="D163" i="22"/>
  <c r="C163" i="22"/>
  <c r="G162" i="22"/>
  <c r="F162" i="22"/>
  <c r="E162" i="22"/>
  <c r="D162" i="22"/>
  <c r="C162" i="22"/>
  <c r="G161" i="22"/>
  <c r="F161" i="22"/>
  <c r="E161" i="22"/>
  <c r="D161" i="22"/>
  <c r="C161" i="22"/>
  <c r="G160" i="22"/>
  <c r="F160" i="22"/>
  <c r="E160" i="22"/>
  <c r="D160" i="22"/>
  <c r="C160" i="22"/>
  <c r="G159" i="22"/>
  <c r="F159" i="22"/>
  <c r="E159" i="22"/>
  <c r="D159" i="22"/>
  <c r="C159" i="22"/>
  <c r="I154" i="22"/>
  <c r="I153" i="22"/>
  <c r="I152" i="22"/>
  <c r="I151" i="22"/>
  <c r="I150" i="22"/>
  <c r="I149" i="22"/>
  <c r="I148" i="22"/>
  <c r="I147" i="22"/>
  <c r="I146" i="22"/>
  <c r="I145" i="22"/>
  <c r="I144" i="22"/>
  <c r="I143" i="22"/>
  <c r="I142" i="22"/>
  <c r="I141" i="22"/>
  <c r="I140" i="22"/>
  <c r="I139" i="22"/>
  <c r="I138" i="22"/>
  <c r="I137" i="22"/>
  <c r="I136" i="22"/>
  <c r="I135" i="22"/>
  <c r="I134" i="22"/>
  <c r="I133" i="22"/>
  <c r="I132" i="22"/>
  <c r="I131" i="22"/>
  <c r="I130" i="22"/>
  <c r="I129" i="22"/>
  <c r="I128" i="22"/>
  <c r="I127" i="22"/>
  <c r="I126" i="22"/>
  <c r="I125" i="22"/>
  <c r="I124" i="22"/>
  <c r="I123" i="22"/>
  <c r="I122" i="22"/>
  <c r="I121" i="22"/>
  <c r="I120" i="22"/>
  <c r="I119" i="22"/>
  <c r="I118" i="22"/>
  <c r="I117" i="22"/>
  <c r="I116" i="22"/>
  <c r="I115" i="22"/>
  <c r="I114" i="22"/>
  <c r="I113" i="22"/>
  <c r="I112" i="22"/>
  <c r="I111" i="22"/>
  <c r="I110" i="22"/>
  <c r="I109" i="22"/>
  <c r="I108" i="22"/>
  <c r="I107" i="22"/>
  <c r="I106" i="22"/>
  <c r="I105" i="22"/>
  <c r="I104" i="22"/>
  <c r="I103" i="22"/>
  <c r="I102" i="22"/>
  <c r="I101" i="22"/>
  <c r="I100" i="22"/>
  <c r="I99" i="22"/>
  <c r="I98" i="22"/>
  <c r="I97" i="22"/>
  <c r="I96" i="22"/>
  <c r="I95" i="22"/>
  <c r="I94" i="22"/>
  <c r="I93" i="22"/>
  <c r="I92" i="22"/>
  <c r="I91" i="22"/>
  <c r="I90" i="22"/>
  <c r="I89" i="22"/>
  <c r="I88" i="22"/>
  <c r="I87" i="22"/>
  <c r="I86" i="22"/>
  <c r="I85" i="22"/>
  <c r="I84" i="22"/>
  <c r="I83" i="22"/>
  <c r="I82" i="22"/>
  <c r="I81" i="22"/>
  <c r="I80" i="22"/>
  <c r="I79" i="22"/>
  <c r="I78" i="22"/>
  <c r="I77" i="22"/>
  <c r="I76" i="22"/>
  <c r="I75" i="22"/>
  <c r="I74" i="22"/>
  <c r="I73" i="22"/>
  <c r="I72" i="22"/>
  <c r="I71" i="22"/>
  <c r="I70" i="22"/>
  <c r="I69" i="22"/>
  <c r="I68" i="22"/>
  <c r="I67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5" i="22"/>
  <c r="I6" i="22" s="1"/>
  <c r="O19" i="21"/>
  <c r="N18" i="21"/>
  <c r="M18" i="21"/>
  <c r="K18" i="21"/>
  <c r="J18" i="21"/>
  <c r="I18" i="21"/>
  <c r="H18" i="21"/>
  <c r="F18" i="21"/>
  <c r="E18" i="21"/>
  <c r="D18" i="21"/>
  <c r="P17" i="21"/>
  <c r="L17" i="21"/>
  <c r="G17" i="21"/>
  <c r="P16" i="21"/>
  <c r="L16" i="21"/>
  <c r="G16" i="21"/>
  <c r="P15" i="21"/>
  <c r="L15" i="21"/>
  <c r="G15" i="21"/>
  <c r="P14" i="21"/>
  <c r="L14" i="21"/>
  <c r="G14" i="21"/>
  <c r="P13" i="21"/>
  <c r="L13" i="21"/>
  <c r="G13" i="21"/>
  <c r="P12" i="21"/>
  <c r="L12" i="21"/>
  <c r="G12" i="21"/>
  <c r="P11" i="21"/>
  <c r="L11" i="21"/>
  <c r="G11" i="21"/>
  <c r="P10" i="21"/>
  <c r="L10" i="21"/>
  <c r="G10" i="21"/>
  <c r="P9" i="21"/>
  <c r="L9" i="21"/>
  <c r="G9" i="21"/>
  <c r="P8" i="21"/>
  <c r="L8" i="21"/>
  <c r="G8" i="21"/>
  <c r="O7" i="21"/>
  <c r="L7" i="21"/>
  <c r="G7" i="21"/>
  <c r="O6" i="21"/>
  <c r="L6" i="21"/>
  <c r="G6" i="21"/>
  <c r="L5" i="21"/>
  <c r="G5" i="21"/>
  <c r="F181" i="20"/>
  <c r="E181" i="20"/>
  <c r="D181" i="20"/>
  <c r="C181" i="20"/>
  <c r="B181" i="20"/>
  <c r="F180" i="20"/>
  <c r="E180" i="20"/>
  <c r="D180" i="20"/>
  <c r="C180" i="20"/>
  <c r="B180" i="20"/>
  <c r="F179" i="20"/>
  <c r="E179" i="20"/>
  <c r="D179" i="20"/>
  <c r="C179" i="20"/>
  <c r="B179" i="20"/>
  <c r="F178" i="20"/>
  <c r="E178" i="20"/>
  <c r="D178" i="20"/>
  <c r="C178" i="20"/>
  <c r="B178" i="20"/>
  <c r="G172" i="20"/>
  <c r="F172" i="20"/>
  <c r="E172" i="20"/>
  <c r="D172" i="20"/>
  <c r="C172" i="20"/>
  <c r="G171" i="20"/>
  <c r="F171" i="20"/>
  <c r="E171" i="20"/>
  <c r="D171" i="20"/>
  <c r="C171" i="20"/>
  <c r="G170" i="20"/>
  <c r="F170" i="20"/>
  <c r="E170" i="20"/>
  <c r="D170" i="20"/>
  <c r="C170" i="20"/>
  <c r="G169" i="20"/>
  <c r="F169" i="20"/>
  <c r="E169" i="20"/>
  <c r="D169" i="20"/>
  <c r="C169" i="20"/>
  <c r="G168" i="20"/>
  <c r="F168" i="20"/>
  <c r="E168" i="20"/>
  <c r="D168" i="20"/>
  <c r="C168" i="20"/>
  <c r="G167" i="20"/>
  <c r="F167" i="20"/>
  <c r="E167" i="20"/>
  <c r="D167" i="20"/>
  <c r="C167" i="20"/>
  <c r="G166" i="20"/>
  <c r="F166" i="20"/>
  <c r="E166" i="20"/>
  <c r="D166" i="20"/>
  <c r="C166" i="20"/>
  <c r="G165" i="20"/>
  <c r="F165" i="20"/>
  <c r="E165" i="20"/>
  <c r="D165" i="20"/>
  <c r="C165" i="20"/>
  <c r="G164" i="20"/>
  <c r="F164" i="20"/>
  <c r="E164" i="20"/>
  <c r="D164" i="20"/>
  <c r="C164" i="20"/>
  <c r="G163" i="20"/>
  <c r="F163" i="20"/>
  <c r="E163" i="20"/>
  <c r="D163" i="20"/>
  <c r="C163" i="20"/>
  <c r="G162" i="20"/>
  <c r="F162" i="20"/>
  <c r="E162" i="20"/>
  <c r="D162" i="20"/>
  <c r="C162" i="20"/>
  <c r="G161" i="20"/>
  <c r="F161" i="20"/>
  <c r="E161" i="20"/>
  <c r="D161" i="20"/>
  <c r="C161" i="20"/>
  <c r="G160" i="20"/>
  <c r="F160" i="20"/>
  <c r="E160" i="20"/>
  <c r="D160" i="20"/>
  <c r="C160" i="20"/>
  <c r="G159" i="20"/>
  <c r="F159" i="20"/>
  <c r="E159" i="20"/>
  <c r="D159" i="20"/>
  <c r="C159" i="20"/>
  <c r="I154" i="20"/>
  <c r="I153" i="20"/>
  <c r="I152" i="20"/>
  <c r="I151" i="20"/>
  <c r="I150" i="20"/>
  <c r="I149" i="20"/>
  <c r="I148" i="20"/>
  <c r="I147" i="20"/>
  <c r="I146" i="20"/>
  <c r="I145" i="20"/>
  <c r="I144" i="20"/>
  <c r="I143" i="20"/>
  <c r="I142" i="20"/>
  <c r="I141" i="20"/>
  <c r="I140" i="20"/>
  <c r="I139" i="20"/>
  <c r="I138" i="20"/>
  <c r="I137" i="20"/>
  <c r="I136" i="20"/>
  <c r="I135" i="20"/>
  <c r="I134" i="20"/>
  <c r="I133" i="20"/>
  <c r="I132" i="20"/>
  <c r="I131" i="20"/>
  <c r="I130" i="20"/>
  <c r="I129" i="20"/>
  <c r="I128" i="20"/>
  <c r="I127" i="20"/>
  <c r="I126" i="20"/>
  <c r="I125" i="20"/>
  <c r="I124" i="20"/>
  <c r="I123" i="20"/>
  <c r="I122" i="20"/>
  <c r="I121" i="20"/>
  <c r="I120" i="20"/>
  <c r="I119" i="20"/>
  <c r="I118" i="20"/>
  <c r="I117" i="20"/>
  <c r="I116" i="20"/>
  <c r="I115" i="20"/>
  <c r="I114" i="20"/>
  <c r="I113" i="20"/>
  <c r="I112" i="20"/>
  <c r="I111" i="20"/>
  <c r="I110" i="20"/>
  <c r="I109" i="20"/>
  <c r="I108" i="20"/>
  <c r="I107" i="20"/>
  <c r="I106" i="20"/>
  <c r="I105" i="20"/>
  <c r="I104" i="20"/>
  <c r="I103" i="20"/>
  <c r="I102" i="20"/>
  <c r="I101" i="20"/>
  <c r="I100" i="20"/>
  <c r="I99" i="20"/>
  <c r="I98" i="20"/>
  <c r="I97" i="20"/>
  <c r="I96" i="20"/>
  <c r="I95" i="20"/>
  <c r="I94" i="20"/>
  <c r="I93" i="20"/>
  <c r="I92" i="20"/>
  <c r="I91" i="20"/>
  <c r="I90" i="20"/>
  <c r="I89" i="20"/>
  <c r="I88" i="20"/>
  <c r="I87" i="20"/>
  <c r="I86" i="20"/>
  <c r="I85" i="20"/>
  <c r="I84" i="20"/>
  <c r="I83" i="20"/>
  <c r="I82" i="20"/>
  <c r="I81" i="20"/>
  <c r="I80" i="20"/>
  <c r="I79" i="20"/>
  <c r="I78" i="20"/>
  <c r="I77" i="20"/>
  <c r="I76" i="20"/>
  <c r="I75" i="20"/>
  <c r="I74" i="20"/>
  <c r="I73" i="20"/>
  <c r="I72" i="20"/>
  <c r="I71" i="20"/>
  <c r="I70" i="20"/>
  <c r="I69" i="20"/>
  <c r="I68" i="20"/>
  <c r="I67" i="20"/>
  <c r="I66" i="20"/>
  <c r="I65" i="20"/>
  <c r="I64" i="20"/>
  <c r="I63" i="20"/>
  <c r="I62" i="20"/>
  <c r="I61" i="20"/>
  <c r="I60" i="20"/>
  <c r="I59" i="20"/>
  <c r="I58" i="20"/>
  <c r="I57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5" i="20"/>
  <c r="I6" i="20" s="1"/>
  <c r="I7" i="20" s="1"/>
  <c r="I8" i="20" s="1"/>
  <c r="I9" i="20" s="1"/>
  <c r="O20" i="19"/>
  <c r="N19" i="19"/>
  <c r="M19" i="19"/>
  <c r="K19" i="19"/>
  <c r="J19" i="19"/>
  <c r="I19" i="19"/>
  <c r="H19" i="19"/>
  <c r="F19" i="19"/>
  <c r="E19" i="19"/>
  <c r="D19" i="19"/>
  <c r="P18" i="19"/>
  <c r="L18" i="19"/>
  <c r="G18" i="19"/>
  <c r="P17" i="19"/>
  <c r="L17" i="19"/>
  <c r="G17" i="19"/>
  <c r="P16" i="19"/>
  <c r="L16" i="19"/>
  <c r="G16" i="19"/>
  <c r="P15" i="19"/>
  <c r="L15" i="19"/>
  <c r="G15" i="19"/>
  <c r="P14" i="19"/>
  <c r="L14" i="19"/>
  <c r="G14" i="19"/>
  <c r="P13" i="19"/>
  <c r="L13" i="19"/>
  <c r="G13" i="19"/>
  <c r="P12" i="19"/>
  <c r="L12" i="19"/>
  <c r="G12" i="19"/>
  <c r="P11" i="19"/>
  <c r="L11" i="19"/>
  <c r="G11" i="19"/>
  <c r="P10" i="19"/>
  <c r="L10" i="19"/>
  <c r="G10" i="19"/>
  <c r="P9" i="19"/>
  <c r="L9" i="19"/>
  <c r="G9" i="19"/>
  <c r="O8" i="19"/>
  <c r="L8" i="19"/>
  <c r="G8" i="19"/>
  <c r="O7" i="19"/>
  <c r="L7" i="19"/>
  <c r="G7" i="19"/>
  <c r="O6" i="19"/>
  <c r="L6" i="19"/>
  <c r="G6" i="19"/>
  <c r="O5" i="19"/>
  <c r="L5" i="19"/>
  <c r="G5" i="19"/>
  <c r="F181" i="18"/>
  <c r="E181" i="18"/>
  <c r="D181" i="18"/>
  <c r="C181" i="18"/>
  <c r="B181" i="18"/>
  <c r="F180" i="18"/>
  <c r="E180" i="18"/>
  <c r="D180" i="18"/>
  <c r="C180" i="18"/>
  <c r="B180" i="18"/>
  <c r="F179" i="18"/>
  <c r="E179" i="18"/>
  <c r="D179" i="18"/>
  <c r="C179" i="18"/>
  <c r="B179" i="18"/>
  <c r="F178" i="18"/>
  <c r="E178" i="18"/>
  <c r="D178" i="18"/>
  <c r="C178" i="18"/>
  <c r="B178" i="18"/>
  <c r="G172" i="18"/>
  <c r="F172" i="18"/>
  <c r="E172" i="18"/>
  <c r="D172" i="18"/>
  <c r="C172" i="18"/>
  <c r="G171" i="18"/>
  <c r="F171" i="18"/>
  <c r="E171" i="18"/>
  <c r="D171" i="18"/>
  <c r="C171" i="18"/>
  <c r="G170" i="18"/>
  <c r="F170" i="18"/>
  <c r="E170" i="18"/>
  <c r="D170" i="18"/>
  <c r="C170" i="18"/>
  <c r="G169" i="18"/>
  <c r="F169" i="18"/>
  <c r="E169" i="18"/>
  <c r="D169" i="18"/>
  <c r="C169" i="18"/>
  <c r="G168" i="18"/>
  <c r="F168" i="18"/>
  <c r="E168" i="18"/>
  <c r="D168" i="18"/>
  <c r="C168" i="18"/>
  <c r="G167" i="18"/>
  <c r="F167" i="18"/>
  <c r="E167" i="18"/>
  <c r="D167" i="18"/>
  <c r="C167" i="18"/>
  <c r="G166" i="18"/>
  <c r="F166" i="18"/>
  <c r="E166" i="18"/>
  <c r="D166" i="18"/>
  <c r="C166" i="18"/>
  <c r="G165" i="18"/>
  <c r="F165" i="18"/>
  <c r="E165" i="18"/>
  <c r="D165" i="18"/>
  <c r="C165" i="18"/>
  <c r="G164" i="18"/>
  <c r="F164" i="18"/>
  <c r="E164" i="18"/>
  <c r="D164" i="18"/>
  <c r="C164" i="18"/>
  <c r="G163" i="18"/>
  <c r="F163" i="18"/>
  <c r="E163" i="18"/>
  <c r="D163" i="18"/>
  <c r="C163" i="18"/>
  <c r="G162" i="18"/>
  <c r="F162" i="18"/>
  <c r="E162" i="18"/>
  <c r="D162" i="18"/>
  <c r="C162" i="18"/>
  <c r="G161" i="18"/>
  <c r="F161" i="18"/>
  <c r="E161" i="18"/>
  <c r="D161" i="18"/>
  <c r="C161" i="18"/>
  <c r="G160" i="18"/>
  <c r="F160" i="18"/>
  <c r="E160" i="18"/>
  <c r="D160" i="18"/>
  <c r="C160" i="18"/>
  <c r="G159" i="18"/>
  <c r="F159" i="18"/>
  <c r="E159" i="18"/>
  <c r="D159" i="18"/>
  <c r="C159" i="18"/>
  <c r="I154" i="18"/>
  <c r="I153" i="18"/>
  <c r="I152" i="18"/>
  <c r="I151" i="18"/>
  <c r="I150" i="18"/>
  <c r="I149" i="18"/>
  <c r="I148" i="18"/>
  <c r="I147" i="18"/>
  <c r="I146" i="18"/>
  <c r="I145" i="18"/>
  <c r="I144" i="18"/>
  <c r="I143" i="18"/>
  <c r="I142" i="18"/>
  <c r="I141" i="18"/>
  <c r="I140" i="18"/>
  <c r="I139" i="18"/>
  <c r="I138" i="18"/>
  <c r="I137" i="18"/>
  <c r="I136" i="18"/>
  <c r="I135" i="18"/>
  <c r="I134" i="18"/>
  <c r="I133" i="18"/>
  <c r="I132" i="18"/>
  <c r="I131" i="18"/>
  <c r="I130" i="18"/>
  <c r="I129" i="18"/>
  <c r="I128" i="18"/>
  <c r="I127" i="18"/>
  <c r="I126" i="18"/>
  <c r="I125" i="18"/>
  <c r="I124" i="18"/>
  <c r="I123" i="18"/>
  <c r="I122" i="18"/>
  <c r="I121" i="18"/>
  <c r="I120" i="18"/>
  <c r="I119" i="18"/>
  <c r="I118" i="18"/>
  <c r="I117" i="18"/>
  <c r="I116" i="18"/>
  <c r="I115" i="18"/>
  <c r="I114" i="18"/>
  <c r="I113" i="18"/>
  <c r="I112" i="18"/>
  <c r="I111" i="18"/>
  <c r="I110" i="18"/>
  <c r="I109" i="18"/>
  <c r="I108" i="18"/>
  <c r="I107" i="18"/>
  <c r="I106" i="18"/>
  <c r="I105" i="18"/>
  <c r="I104" i="18"/>
  <c r="I103" i="18"/>
  <c r="I102" i="18"/>
  <c r="I101" i="18"/>
  <c r="I100" i="18"/>
  <c r="I99" i="18"/>
  <c r="I98" i="18"/>
  <c r="I97" i="18"/>
  <c r="I96" i="18"/>
  <c r="I95" i="18"/>
  <c r="I94" i="18"/>
  <c r="I93" i="18"/>
  <c r="I92" i="18"/>
  <c r="I91" i="18"/>
  <c r="I90" i="18"/>
  <c r="I89" i="18"/>
  <c r="I88" i="18"/>
  <c r="I87" i="18"/>
  <c r="I86" i="18"/>
  <c r="I85" i="18"/>
  <c r="I84" i="18"/>
  <c r="I83" i="18"/>
  <c r="I82" i="18"/>
  <c r="I81" i="18"/>
  <c r="I80" i="18"/>
  <c r="I79" i="18"/>
  <c r="I78" i="18"/>
  <c r="I77" i="18"/>
  <c r="I76" i="18"/>
  <c r="I75" i="18"/>
  <c r="I74" i="18"/>
  <c r="I73" i="18"/>
  <c r="I72" i="18"/>
  <c r="I71" i="18"/>
  <c r="I70" i="18"/>
  <c r="I69" i="18"/>
  <c r="I68" i="18"/>
  <c r="I67" i="18"/>
  <c r="I66" i="18"/>
  <c r="I65" i="18"/>
  <c r="I64" i="18"/>
  <c r="I63" i="18"/>
  <c r="I62" i="18"/>
  <c r="I61" i="18"/>
  <c r="I60" i="18"/>
  <c r="I59" i="18"/>
  <c r="I58" i="18"/>
  <c r="I57" i="18"/>
  <c r="I56" i="18"/>
  <c r="I55" i="18"/>
  <c r="I54" i="18"/>
  <c r="I53" i="18"/>
  <c r="I52" i="18"/>
  <c r="I51" i="18"/>
  <c r="I50" i="18"/>
  <c r="I49" i="18"/>
  <c r="I48" i="18"/>
  <c r="I47" i="18"/>
  <c r="I46" i="18"/>
  <c r="I45" i="18"/>
  <c r="I44" i="18"/>
  <c r="I43" i="18"/>
  <c r="I42" i="18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5" i="18"/>
  <c r="I6" i="18" s="1"/>
  <c r="I7" i="18" s="1"/>
  <c r="I8" i="18" s="1"/>
  <c r="I9" i="18" s="1"/>
  <c r="I10" i="18" s="1"/>
  <c r="I11" i="18" s="1"/>
  <c r="I12" i="18" s="1"/>
  <c r="O22" i="17"/>
  <c r="N21" i="17"/>
  <c r="M21" i="17"/>
  <c r="K21" i="17"/>
  <c r="J21" i="17"/>
  <c r="I21" i="17"/>
  <c r="H21" i="17"/>
  <c r="F21" i="17"/>
  <c r="E21" i="17"/>
  <c r="D21" i="17"/>
  <c r="P20" i="17"/>
  <c r="L20" i="17"/>
  <c r="G20" i="17"/>
  <c r="P19" i="17"/>
  <c r="L19" i="17"/>
  <c r="G19" i="17"/>
  <c r="P18" i="17"/>
  <c r="L18" i="17"/>
  <c r="G18" i="17"/>
  <c r="P17" i="17"/>
  <c r="L17" i="17"/>
  <c r="G17" i="17"/>
  <c r="P16" i="17"/>
  <c r="L16" i="17"/>
  <c r="G16" i="17"/>
  <c r="P15" i="17"/>
  <c r="L15" i="17"/>
  <c r="G15" i="17"/>
  <c r="P14" i="17"/>
  <c r="L14" i="17"/>
  <c r="G14" i="17"/>
  <c r="P13" i="17"/>
  <c r="L13" i="17"/>
  <c r="G13" i="17"/>
  <c r="P12" i="17"/>
  <c r="L12" i="17"/>
  <c r="G12" i="17"/>
  <c r="P11" i="17"/>
  <c r="L11" i="17"/>
  <c r="G11" i="17"/>
  <c r="O10" i="17"/>
  <c r="L10" i="17"/>
  <c r="G10" i="17"/>
  <c r="G9" i="17"/>
  <c r="O8" i="17"/>
  <c r="L8" i="17"/>
  <c r="G8" i="17"/>
  <c r="O7" i="17"/>
  <c r="L7" i="17"/>
  <c r="G7" i="17"/>
  <c r="L6" i="17"/>
  <c r="G6" i="17"/>
  <c r="O5" i="17"/>
  <c r="L5" i="17"/>
  <c r="G5" i="17"/>
  <c r="F181" i="16"/>
  <c r="E181" i="16"/>
  <c r="D181" i="16"/>
  <c r="C181" i="16"/>
  <c r="B181" i="16"/>
  <c r="F180" i="16"/>
  <c r="E180" i="16"/>
  <c r="D180" i="16"/>
  <c r="C180" i="16"/>
  <c r="B180" i="16"/>
  <c r="F179" i="16"/>
  <c r="E179" i="16"/>
  <c r="D179" i="16"/>
  <c r="C179" i="16"/>
  <c r="B179" i="16"/>
  <c r="F178" i="16"/>
  <c r="E178" i="16"/>
  <c r="D178" i="16"/>
  <c r="C178" i="16"/>
  <c r="B178" i="16"/>
  <c r="G172" i="16"/>
  <c r="F172" i="16"/>
  <c r="E172" i="16"/>
  <c r="D172" i="16"/>
  <c r="C172" i="16"/>
  <c r="G171" i="16"/>
  <c r="F171" i="16"/>
  <c r="E171" i="16"/>
  <c r="D171" i="16"/>
  <c r="C171" i="16"/>
  <c r="G170" i="16"/>
  <c r="F170" i="16"/>
  <c r="E170" i="16"/>
  <c r="D170" i="16"/>
  <c r="C170" i="16"/>
  <c r="G169" i="16"/>
  <c r="F169" i="16"/>
  <c r="E169" i="16"/>
  <c r="D169" i="16"/>
  <c r="C169" i="16"/>
  <c r="G168" i="16"/>
  <c r="F168" i="16"/>
  <c r="E168" i="16"/>
  <c r="D168" i="16"/>
  <c r="C168" i="16"/>
  <c r="G167" i="16"/>
  <c r="F167" i="16"/>
  <c r="E167" i="16"/>
  <c r="D167" i="16"/>
  <c r="C167" i="16"/>
  <c r="G166" i="16"/>
  <c r="F166" i="16"/>
  <c r="E166" i="16"/>
  <c r="D166" i="16"/>
  <c r="C166" i="16"/>
  <c r="G165" i="16"/>
  <c r="F165" i="16"/>
  <c r="E165" i="16"/>
  <c r="D165" i="16"/>
  <c r="C165" i="16"/>
  <c r="G164" i="16"/>
  <c r="F164" i="16"/>
  <c r="E164" i="16"/>
  <c r="D164" i="16"/>
  <c r="C164" i="16"/>
  <c r="G163" i="16"/>
  <c r="F163" i="16"/>
  <c r="E163" i="16"/>
  <c r="D163" i="16"/>
  <c r="C163" i="16"/>
  <c r="G162" i="16"/>
  <c r="F162" i="16"/>
  <c r="E162" i="16"/>
  <c r="D162" i="16"/>
  <c r="C162" i="16"/>
  <c r="G161" i="16"/>
  <c r="F161" i="16"/>
  <c r="E161" i="16"/>
  <c r="D161" i="16"/>
  <c r="C161" i="16"/>
  <c r="G160" i="16"/>
  <c r="F160" i="16"/>
  <c r="E160" i="16"/>
  <c r="D160" i="16"/>
  <c r="C160" i="16"/>
  <c r="G159" i="16"/>
  <c r="F159" i="16"/>
  <c r="E159" i="16"/>
  <c r="D159" i="16"/>
  <c r="C159" i="16"/>
  <c r="I154" i="16"/>
  <c r="I153" i="16"/>
  <c r="I152" i="16"/>
  <c r="I151" i="16"/>
  <c r="I150" i="16"/>
  <c r="I149" i="16"/>
  <c r="I148" i="16"/>
  <c r="I147" i="16"/>
  <c r="I146" i="16"/>
  <c r="I145" i="16"/>
  <c r="I144" i="16"/>
  <c r="I143" i="16"/>
  <c r="I142" i="16"/>
  <c r="I141" i="16"/>
  <c r="I140" i="16"/>
  <c r="I139" i="16"/>
  <c r="I138" i="16"/>
  <c r="I137" i="16"/>
  <c r="I136" i="16"/>
  <c r="I135" i="16"/>
  <c r="I134" i="16"/>
  <c r="I133" i="16"/>
  <c r="I132" i="16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5" i="16"/>
  <c r="I104" i="16"/>
  <c r="I103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5" i="16"/>
  <c r="I6" i="16" s="1"/>
  <c r="I7" i="16" s="1"/>
  <c r="I8" i="16" s="1"/>
  <c r="I9" i="16" s="1"/>
  <c r="I10" i="16" s="1"/>
  <c r="O24" i="15"/>
  <c r="N23" i="15"/>
  <c r="M23" i="15"/>
  <c r="K23" i="15"/>
  <c r="J23" i="15"/>
  <c r="I23" i="15"/>
  <c r="H23" i="15"/>
  <c r="L24" i="15" s="1"/>
  <c r="F23" i="15"/>
  <c r="E23" i="15"/>
  <c r="G24" i="15" s="1"/>
  <c r="D23" i="15"/>
  <c r="P22" i="15"/>
  <c r="L22" i="15"/>
  <c r="G22" i="15"/>
  <c r="P21" i="15"/>
  <c r="L21" i="15"/>
  <c r="G21" i="15"/>
  <c r="P20" i="15"/>
  <c r="L20" i="15"/>
  <c r="G20" i="15"/>
  <c r="P19" i="15"/>
  <c r="L19" i="15"/>
  <c r="G19" i="15"/>
  <c r="P18" i="15"/>
  <c r="L18" i="15"/>
  <c r="G18" i="15"/>
  <c r="P17" i="15"/>
  <c r="L17" i="15"/>
  <c r="G17" i="15"/>
  <c r="P16" i="15"/>
  <c r="L16" i="15"/>
  <c r="G16" i="15"/>
  <c r="P15" i="15"/>
  <c r="L15" i="15"/>
  <c r="G15" i="15"/>
  <c r="P14" i="15"/>
  <c r="L14" i="15"/>
  <c r="G14" i="15"/>
  <c r="P13" i="15"/>
  <c r="L13" i="15"/>
  <c r="G13" i="15"/>
  <c r="O12" i="15"/>
  <c r="L12" i="15"/>
  <c r="G12" i="15"/>
  <c r="O11" i="15"/>
  <c r="L11" i="15"/>
  <c r="G11" i="15"/>
  <c r="O10" i="15"/>
  <c r="L10" i="15"/>
  <c r="G10" i="15"/>
  <c r="O9" i="15"/>
  <c r="P9" i="15" s="1"/>
  <c r="G9" i="15"/>
  <c r="O8" i="15"/>
  <c r="L8" i="15"/>
  <c r="G8" i="15"/>
  <c r="O7" i="15"/>
  <c r="L7" i="15"/>
  <c r="G7" i="15"/>
  <c r="O6" i="15"/>
  <c r="L6" i="15"/>
  <c r="G6" i="15"/>
  <c r="O5" i="15"/>
  <c r="L5" i="15"/>
  <c r="G5" i="15"/>
  <c r="F181" i="14"/>
  <c r="E181" i="14"/>
  <c r="D181" i="14"/>
  <c r="C181" i="14"/>
  <c r="B181" i="14"/>
  <c r="F180" i="14"/>
  <c r="E180" i="14"/>
  <c r="D180" i="14"/>
  <c r="C180" i="14"/>
  <c r="B180" i="14"/>
  <c r="F179" i="14"/>
  <c r="E179" i="14"/>
  <c r="D179" i="14"/>
  <c r="C179" i="14"/>
  <c r="B179" i="14"/>
  <c r="F178" i="14"/>
  <c r="E178" i="14"/>
  <c r="D178" i="14"/>
  <c r="C178" i="14"/>
  <c r="B178" i="14"/>
  <c r="G172" i="14"/>
  <c r="F172" i="14"/>
  <c r="E172" i="14"/>
  <c r="D172" i="14"/>
  <c r="C172" i="14"/>
  <c r="G171" i="14"/>
  <c r="F171" i="14"/>
  <c r="E171" i="14"/>
  <c r="D171" i="14"/>
  <c r="C171" i="14"/>
  <c r="G170" i="14"/>
  <c r="F170" i="14"/>
  <c r="E170" i="14"/>
  <c r="D170" i="14"/>
  <c r="C170" i="14"/>
  <c r="G169" i="14"/>
  <c r="F169" i="14"/>
  <c r="E169" i="14"/>
  <c r="D169" i="14"/>
  <c r="C169" i="14"/>
  <c r="G168" i="14"/>
  <c r="F168" i="14"/>
  <c r="E168" i="14"/>
  <c r="D168" i="14"/>
  <c r="C168" i="14"/>
  <c r="G167" i="14"/>
  <c r="F167" i="14"/>
  <c r="E167" i="14"/>
  <c r="D167" i="14"/>
  <c r="C167" i="14"/>
  <c r="G166" i="14"/>
  <c r="F166" i="14"/>
  <c r="E166" i="14"/>
  <c r="D166" i="14"/>
  <c r="C166" i="14"/>
  <c r="G165" i="14"/>
  <c r="F165" i="14"/>
  <c r="E165" i="14"/>
  <c r="D165" i="14"/>
  <c r="C165" i="14"/>
  <c r="G164" i="14"/>
  <c r="F164" i="14"/>
  <c r="E164" i="14"/>
  <c r="D164" i="14"/>
  <c r="C164" i="14"/>
  <c r="G163" i="14"/>
  <c r="F163" i="14"/>
  <c r="E163" i="14"/>
  <c r="D163" i="14"/>
  <c r="C163" i="14"/>
  <c r="G162" i="14"/>
  <c r="F162" i="14"/>
  <c r="E162" i="14"/>
  <c r="D162" i="14"/>
  <c r="C162" i="14"/>
  <c r="G161" i="14"/>
  <c r="F161" i="14"/>
  <c r="E161" i="14"/>
  <c r="D161" i="14"/>
  <c r="C161" i="14"/>
  <c r="G160" i="14"/>
  <c r="F160" i="14"/>
  <c r="E160" i="14"/>
  <c r="D160" i="14"/>
  <c r="C160" i="14"/>
  <c r="G159" i="14"/>
  <c r="F159" i="14"/>
  <c r="E159" i="14"/>
  <c r="D159" i="14"/>
  <c r="C159" i="14"/>
  <c r="I154" i="14"/>
  <c r="I153" i="14"/>
  <c r="I152" i="14"/>
  <c r="I151" i="14"/>
  <c r="I150" i="14"/>
  <c r="I149" i="14"/>
  <c r="I148" i="14"/>
  <c r="I147" i="14"/>
  <c r="I146" i="14"/>
  <c r="I145" i="14"/>
  <c r="I144" i="14"/>
  <c r="I143" i="14"/>
  <c r="I142" i="14"/>
  <c r="I141" i="14"/>
  <c r="I140" i="14"/>
  <c r="I139" i="14"/>
  <c r="I138" i="14"/>
  <c r="I137" i="14"/>
  <c r="I136" i="14"/>
  <c r="I135" i="14"/>
  <c r="I134" i="14"/>
  <c r="I133" i="14"/>
  <c r="I132" i="14"/>
  <c r="I131" i="14"/>
  <c r="I130" i="14"/>
  <c r="I129" i="14"/>
  <c r="I128" i="14"/>
  <c r="I127" i="14"/>
  <c r="I126" i="14"/>
  <c r="I125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5" i="14"/>
  <c r="I6" i="14" s="1"/>
  <c r="I7" i="14" s="1"/>
  <c r="I8" i="14" s="1"/>
  <c r="I9" i="14" s="1"/>
  <c r="I10" i="14" s="1"/>
  <c r="I11" i="14" s="1"/>
  <c r="I12" i="14" s="1"/>
  <c r="I13" i="14" s="1"/>
  <c r="I14" i="14" s="1"/>
  <c r="I15" i="14" s="1"/>
  <c r="I16" i="14" s="1"/>
  <c r="I17" i="14" s="1"/>
  <c r="I18" i="14" s="1"/>
  <c r="I19" i="14" s="1"/>
  <c r="I20" i="14" s="1"/>
  <c r="O26" i="13"/>
  <c r="N25" i="13"/>
  <c r="M25" i="13"/>
  <c r="K25" i="13"/>
  <c r="J25" i="13"/>
  <c r="I25" i="13"/>
  <c r="H25" i="13"/>
  <c r="F25" i="13"/>
  <c r="E25" i="13"/>
  <c r="D25" i="13"/>
  <c r="P24" i="13"/>
  <c r="L24" i="13"/>
  <c r="G24" i="13"/>
  <c r="P23" i="13"/>
  <c r="L23" i="13"/>
  <c r="G23" i="13"/>
  <c r="P22" i="13"/>
  <c r="L22" i="13"/>
  <c r="G22" i="13"/>
  <c r="P21" i="13"/>
  <c r="L21" i="13"/>
  <c r="G21" i="13"/>
  <c r="P20" i="13"/>
  <c r="L20" i="13"/>
  <c r="G20" i="13"/>
  <c r="P19" i="13"/>
  <c r="L19" i="13"/>
  <c r="G19" i="13"/>
  <c r="P18" i="13"/>
  <c r="L18" i="13"/>
  <c r="G18" i="13"/>
  <c r="P17" i="13"/>
  <c r="L17" i="13"/>
  <c r="G17" i="13"/>
  <c r="P16" i="13"/>
  <c r="L16" i="13"/>
  <c r="G16" i="13"/>
  <c r="P15" i="13"/>
  <c r="L15" i="13"/>
  <c r="G15" i="13"/>
  <c r="L14" i="13"/>
  <c r="G14" i="13"/>
  <c r="O13" i="13"/>
  <c r="L13" i="13"/>
  <c r="G13" i="13"/>
  <c r="L12" i="13"/>
  <c r="G12" i="13"/>
  <c r="O11" i="13"/>
  <c r="L11" i="13"/>
  <c r="G11" i="13"/>
  <c r="O10" i="13"/>
  <c r="P10" i="13" s="1"/>
  <c r="L10" i="13"/>
  <c r="G10" i="13"/>
  <c r="O9" i="13"/>
  <c r="L9" i="13"/>
  <c r="G9" i="13"/>
  <c r="O8" i="13"/>
  <c r="P8" i="13" s="1"/>
  <c r="L8" i="13"/>
  <c r="G8" i="13"/>
  <c r="O7" i="13"/>
  <c r="L7" i="13"/>
  <c r="G7" i="13"/>
  <c r="O6" i="13"/>
  <c r="P6" i="13" s="1"/>
  <c r="L6" i="13"/>
  <c r="G6" i="13"/>
  <c r="O5" i="13"/>
  <c r="L5" i="13"/>
  <c r="G5" i="13"/>
  <c r="F181" i="12"/>
  <c r="E181" i="12"/>
  <c r="D181" i="12"/>
  <c r="C181" i="12"/>
  <c r="B181" i="12"/>
  <c r="F180" i="12"/>
  <c r="E180" i="12"/>
  <c r="D180" i="12"/>
  <c r="C180" i="12"/>
  <c r="B180" i="12"/>
  <c r="F179" i="12"/>
  <c r="E179" i="12"/>
  <c r="D179" i="12"/>
  <c r="C179" i="12"/>
  <c r="B179" i="12"/>
  <c r="F178" i="12"/>
  <c r="E178" i="12"/>
  <c r="D178" i="12"/>
  <c r="C178" i="12"/>
  <c r="B178" i="12"/>
  <c r="G172" i="12"/>
  <c r="F172" i="12"/>
  <c r="E172" i="12"/>
  <c r="D172" i="12"/>
  <c r="C172" i="12"/>
  <c r="G171" i="12"/>
  <c r="F171" i="12"/>
  <c r="E171" i="12"/>
  <c r="D171" i="12"/>
  <c r="C171" i="12"/>
  <c r="G170" i="12"/>
  <c r="F170" i="12"/>
  <c r="E170" i="12"/>
  <c r="D170" i="12"/>
  <c r="C170" i="12"/>
  <c r="G169" i="12"/>
  <c r="F169" i="12"/>
  <c r="E169" i="12"/>
  <c r="D169" i="12"/>
  <c r="C169" i="12"/>
  <c r="G168" i="12"/>
  <c r="F168" i="12"/>
  <c r="E168" i="12"/>
  <c r="D168" i="12"/>
  <c r="C168" i="12"/>
  <c r="G167" i="12"/>
  <c r="F167" i="12"/>
  <c r="E167" i="12"/>
  <c r="D167" i="12"/>
  <c r="C167" i="12"/>
  <c r="G166" i="12"/>
  <c r="F166" i="12"/>
  <c r="E166" i="12"/>
  <c r="D166" i="12"/>
  <c r="C166" i="12"/>
  <c r="G165" i="12"/>
  <c r="F165" i="12"/>
  <c r="E165" i="12"/>
  <c r="D165" i="12"/>
  <c r="C165" i="12"/>
  <c r="G164" i="12"/>
  <c r="F164" i="12"/>
  <c r="E164" i="12"/>
  <c r="D164" i="12"/>
  <c r="C164" i="12"/>
  <c r="G163" i="12"/>
  <c r="F163" i="12"/>
  <c r="E163" i="12"/>
  <c r="D163" i="12"/>
  <c r="C163" i="12"/>
  <c r="G162" i="12"/>
  <c r="F162" i="12"/>
  <c r="E162" i="12"/>
  <c r="D162" i="12"/>
  <c r="C162" i="12"/>
  <c r="G161" i="12"/>
  <c r="F161" i="12"/>
  <c r="E161" i="12"/>
  <c r="D161" i="12"/>
  <c r="C161" i="12"/>
  <c r="G160" i="12"/>
  <c r="F160" i="12"/>
  <c r="E160" i="12"/>
  <c r="D160" i="12"/>
  <c r="C160" i="12"/>
  <c r="G159" i="12"/>
  <c r="F159" i="12"/>
  <c r="E159" i="12"/>
  <c r="D159" i="12"/>
  <c r="C159" i="12"/>
  <c r="I154" i="12"/>
  <c r="I153" i="12"/>
  <c r="I152" i="12"/>
  <c r="I151" i="12"/>
  <c r="I150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3" i="12"/>
  <c r="I132" i="12"/>
  <c r="I131" i="12"/>
  <c r="I130" i="12"/>
  <c r="I129" i="12"/>
  <c r="I128" i="12"/>
  <c r="I127" i="12"/>
  <c r="I126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5" i="12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O19" i="11"/>
  <c r="N18" i="11"/>
  <c r="M18" i="11"/>
  <c r="K18" i="11"/>
  <c r="J18" i="11"/>
  <c r="I18" i="11"/>
  <c r="H18" i="11"/>
  <c r="F18" i="11"/>
  <c r="E18" i="11"/>
  <c r="D18" i="11"/>
  <c r="P17" i="11"/>
  <c r="L17" i="11"/>
  <c r="G17" i="11"/>
  <c r="P16" i="11"/>
  <c r="L16" i="11"/>
  <c r="G16" i="11"/>
  <c r="P15" i="11"/>
  <c r="L15" i="11"/>
  <c r="G15" i="11"/>
  <c r="O7" i="11"/>
  <c r="L7" i="11"/>
  <c r="G7" i="11"/>
  <c r="O6" i="11"/>
  <c r="L6" i="11"/>
  <c r="G6" i="11"/>
  <c r="F181" i="10"/>
  <c r="E181" i="10"/>
  <c r="D181" i="10"/>
  <c r="C181" i="10"/>
  <c r="B181" i="10"/>
  <c r="F180" i="10"/>
  <c r="E180" i="10"/>
  <c r="D180" i="10"/>
  <c r="C180" i="10"/>
  <c r="B180" i="10"/>
  <c r="F179" i="10"/>
  <c r="E179" i="10"/>
  <c r="D179" i="10"/>
  <c r="C179" i="10"/>
  <c r="B179" i="10"/>
  <c r="F178" i="10"/>
  <c r="E178" i="10"/>
  <c r="D178" i="10"/>
  <c r="C178" i="10"/>
  <c r="B178" i="10"/>
  <c r="G172" i="10"/>
  <c r="F172" i="10"/>
  <c r="E172" i="10"/>
  <c r="D172" i="10"/>
  <c r="C172" i="10"/>
  <c r="G171" i="10"/>
  <c r="F171" i="10"/>
  <c r="E171" i="10"/>
  <c r="D171" i="10"/>
  <c r="C171" i="10"/>
  <c r="G170" i="10"/>
  <c r="F170" i="10"/>
  <c r="E170" i="10"/>
  <c r="D170" i="10"/>
  <c r="C170" i="10"/>
  <c r="G169" i="10"/>
  <c r="F169" i="10"/>
  <c r="E169" i="10"/>
  <c r="D169" i="10"/>
  <c r="C169" i="10"/>
  <c r="G168" i="10"/>
  <c r="F168" i="10"/>
  <c r="E168" i="10"/>
  <c r="D168" i="10"/>
  <c r="C168" i="10"/>
  <c r="G167" i="10"/>
  <c r="F167" i="10"/>
  <c r="E167" i="10"/>
  <c r="D167" i="10"/>
  <c r="C167" i="10"/>
  <c r="G166" i="10"/>
  <c r="F166" i="10"/>
  <c r="E166" i="10"/>
  <c r="D166" i="10"/>
  <c r="C166" i="10"/>
  <c r="G165" i="10"/>
  <c r="F165" i="10"/>
  <c r="E165" i="10"/>
  <c r="D165" i="10"/>
  <c r="C165" i="10"/>
  <c r="G164" i="10"/>
  <c r="F164" i="10"/>
  <c r="E164" i="10"/>
  <c r="D164" i="10"/>
  <c r="C164" i="10"/>
  <c r="G163" i="10"/>
  <c r="F163" i="10"/>
  <c r="E163" i="10"/>
  <c r="D163" i="10"/>
  <c r="C163" i="10"/>
  <c r="G162" i="10"/>
  <c r="F162" i="10"/>
  <c r="E162" i="10"/>
  <c r="D162" i="10"/>
  <c r="C162" i="10"/>
  <c r="G161" i="10"/>
  <c r="F161" i="10"/>
  <c r="E161" i="10"/>
  <c r="D161" i="10"/>
  <c r="C161" i="10"/>
  <c r="G160" i="10"/>
  <c r="F160" i="10"/>
  <c r="E160" i="10"/>
  <c r="D160" i="10"/>
  <c r="C160" i="10"/>
  <c r="G159" i="10"/>
  <c r="F159" i="10"/>
  <c r="E159" i="10"/>
  <c r="D159" i="10"/>
  <c r="C159" i="10"/>
  <c r="I154" i="10"/>
  <c r="I153" i="10"/>
  <c r="I152" i="10"/>
  <c r="I151" i="10"/>
  <c r="I150" i="10"/>
  <c r="I149" i="10"/>
  <c r="I148" i="10"/>
  <c r="I147" i="10"/>
  <c r="I146" i="10"/>
  <c r="I145" i="10"/>
  <c r="I144" i="10"/>
  <c r="I143" i="10"/>
  <c r="I142" i="10"/>
  <c r="I141" i="10"/>
  <c r="I140" i="10"/>
  <c r="I139" i="10"/>
  <c r="I138" i="10"/>
  <c r="I137" i="10"/>
  <c r="I136" i="10"/>
  <c r="I135" i="10"/>
  <c r="I134" i="10"/>
  <c r="I133" i="10"/>
  <c r="I132" i="10"/>
  <c r="I131" i="10"/>
  <c r="I130" i="10"/>
  <c r="I129" i="10"/>
  <c r="I128" i="10"/>
  <c r="I127" i="10"/>
  <c r="I126" i="10"/>
  <c r="I125" i="10"/>
  <c r="I124" i="10"/>
  <c r="I123" i="10"/>
  <c r="I122" i="10"/>
  <c r="I121" i="10"/>
  <c r="I120" i="10"/>
  <c r="I119" i="10"/>
  <c r="I118" i="10"/>
  <c r="I117" i="10"/>
  <c r="I116" i="10"/>
  <c r="I115" i="10"/>
  <c r="I114" i="10"/>
  <c r="I113" i="10"/>
  <c r="I112" i="10"/>
  <c r="I111" i="10"/>
  <c r="I110" i="10"/>
  <c r="I109" i="10"/>
  <c r="I108" i="10"/>
  <c r="I107" i="10"/>
  <c r="I106" i="10"/>
  <c r="I105" i="10"/>
  <c r="I104" i="10"/>
  <c r="I103" i="10"/>
  <c r="I102" i="10"/>
  <c r="I101" i="10"/>
  <c r="I100" i="10"/>
  <c r="I99" i="10"/>
  <c r="I98" i="10"/>
  <c r="I97" i="10"/>
  <c r="I96" i="10"/>
  <c r="I95" i="10"/>
  <c r="I94" i="10"/>
  <c r="I93" i="10"/>
  <c r="I92" i="10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I65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5" i="10"/>
  <c r="I6" i="10" s="1"/>
  <c r="I7" i="10" s="1"/>
  <c r="I8" i="10" s="1"/>
  <c r="I9" i="10" s="1"/>
  <c r="I10" i="10" s="1"/>
  <c r="I11" i="10" s="1"/>
  <c r="I12" i="10" s="1"/>
  <c r="I13" i="10" s="1"/>
  <c r="O22" i="9"/>
  <c r="N21" i="9"/>
  <c r="M21" i="9"/>
  <c r="K21" i="9"/>
  <c r="J21" i="9"/>
  <c r="I21" i="9"/>
  <c r="H21" i="9"/>
  <c r="F21" i="9"/>
  <c r="E21" i="9"/>
  <c r="D21" i="9"/>
  <c r="P20" i="9"/>
  <c r="L20" i="9"/>
  <c r="G20" i="9"/>
  <c r="P19" i="9"/>
  <c r="L19" i="9"/>
  <c r="G19" i="9"/>
  <c r="P18" i="9"/>
  <c r="L18" i="9"/>
  <c r="G18" i="9"/>
  <c r="P17" i="9"/>
  <c r="L17" i="9"/>
  <c r="G17" i="9"/>
  <c r="P16" i="9"/>
  <c r="L16" i="9"/>
  <c r="G16" i="9"/>
  <c r="P15" i="9"/>
  <c r="L15" i="9"/>
  <c r="G15" i="9"/>
  <c r="P14" i="9"/>
  <c r="L14" i="9"/>
  <c r="G14" i="9"/>
  <c r="P13" i="9"/>
  <c r="L13" i="9"/>
  <c r="G13" i="9"/>
  <c r="P12" i="9"/>
  <c r="L12" i="9"/>
  <c r="G12" i="9"/>
  <c r="P11" i="9"/>
  <c r="L11" i="9"/>
  <c r="G11" i="9"/>
  <c r="O10" i="9"/>
  <c r="L10" i="9"/>
  <c r="G10" i="9"/>
  <c r="O9" i="9"/>
  <c r="L9" i="9"/>
  <c r="G9" i="9"/>
  <c r="O8" i="9"/>
  <c r="L8" i="9"/>
  <c r="G8" i="9"/>
  <c r="O7" i="9"/>
  <c r="L7" i="9"/>
  <c r="G7" i="9"/>
  <c r="O6" i="9"/>
  <c r="L6" i="9"/>
  <c r="G6" i="9"/>
  <c r="F181" i="8"/>
  <c r="E181" i="8"/>
  <c r="D181" i="8"/>
  <c r="C181" i="8"/>
  <c r="B181" i="8"/>
  <c r="F180" i="8"/>
  <c r="E180" i="8"/>
  <c r="D180" i="8"/>
  <c r="C180" i="8"/>
  <c r="B180" i="8"/>
  <c r="F179" i="8"/>
  <c r="E179" i="8"/>
  <c r="D179" i="8"/>
  <c r="C179" i="8"/>
  <c r="B179" i="8"/>
  <c r="F178" i="8"/>
  <c r="E178" i="8"/>
  <c r="D178" i="8"/>
  <c r="C178" i="8"/>
  <c r="B178" i="8"/>
  <c r="G172" i="8"/>
  <c r="F172" i="8"/>
  <c r="E172" i="8"/>
  <c r="D172" i="8"/>
  <c r="C172" i="8"/>
  <c r="G171" i="8"/>
  <c r="F171" i="8"/>
  <c r="E171" i="8"/>
  <c r="D171" i="8"/>
  <c r="C171" i="8"/>
  <c r="G170" i="8"/>
  <c r="F170" i="8"/>
  <c r="E170" i="8"/>
  <c r="D170" i="8"/>
  <c r="C170" i="8"/>
  <c r="G169" i="8"/>
  <c r="F169" i="8"/>
  <c r="E169" i="8"/>
  <c r="D169" i="8"/>
  <c r="C169" i="8"/>
  <c r="G168" i="8"/>
  <c r="F168" i="8"/>
  <c r="E168" i="8"/>
  <c r="D168" i="8"/>
  <c r="C168" i="8"/>
  <c r="G167" i="8"/>
  <c r="F167" i="8"/>
  <c r="E167" i="8"/>
  <c r="D167" i="8"/>
  <c r="C167" i="8"/>
  <c r="G166" i="8"/>
  <c r="F166" i="8"/>
  <c r="E166" i="8"/>
  <c r="D166" i="8"/>
  <c r="C166" i="8"/>
  <c r="G165" i="8"/>
  <c r="F165" i="8"/>
  <c r="E165" i="8"/>
  <c r="D165" i="8"/>
  <c r="C165" i="8"/>
  <c r="G164" i="8"/>
  <c r="F164" i="8"/>
  <c r="E164" i="8"/>
  <c r="D164" i="8"/>
  <c r="C164" i="8"/>
  <c r="G163" i="8"/>
  <c r="F163" i="8"/>
  <c r="E163" i="8"/>
  <c r="D163" i="8"/>
  <c r="C163" i="8"/>
  <c r="G162" i="8"/>
  <c r="F162" i="8"/>
  <c r="E162" i="8"/>
  <c r="D162" i="8"/>
  <c r="C162" i="8"/>
  <c r="G161" i="8"/>
  <c r="F161" i="8"/>
  <c r="E161" i="8"/>
  <c r="D161" i="8"/>
  <c r="C161" i="8"/>
  <c r="G160" i="8"/>
  <c r="F160" i="8"/>
  <c r="E160" i="8"/>
  <c r="D160" i="8"/>
  <c r="C160" i="8"/>
  <c r="G159" i="8"/>
  <c r="F159" i="8"/>
  <c r="E159" i="8"/>
  <c r="D159" i="8"/>
  <c r="C159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5" i="8"/>
  <c r="I6" i="8" s="1"/>
  <c r="I7" i="8" s="1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O29" i="7"/>
  <c r="N28" i="7"/>
  <c r="M28" i="7"/>
  <c r="K28" i="7"/>
  <c r="J28" i="7"/>
  <c r="I28" i="7"/>
  <c r="H28" i="7"/>
  <c r="F28" i="7"/>
  <c r="E28" i="7"/>
  <c r="D28" i="7"/>
  <c r="P27" i="7"/>
  <c r="L27" i="7"/>
  <c r="G27" i="7"/>
  <c r="P26" i="7"/>
  <c r="L26" i="7"/>
  <c r="G26" i="7"/>
  <c r="P25" i="7"/>
  <c r="L25" i="7"/>
  <c r="G25" i="7"/>
  <c r="P24" i="7"/>
  <c r="L24" i="7"/>
  <c r="G24" i="7"/>
  <c r="P23" i="7"/>
  <c r="L23" i="7"/>
  <c r="G23" i="7"/>
  <c r="P22" i="7"/>
  <c r="L22" i="7"/>
  <c r="G22" i="7"/>
  <c r="P21" i="7"/>
  <c r="L21" i="7"/>
  <c r="G21" i="7"/>
  <c r="P20" i="7"/>
  <c r="L20" i="7"/>
  <c r="G20" i="7"/>
  <c r="P19" i="7"/>
  <c r="L19" i="7"/>
  <c r="G19" i="7"/>
  <c r="P18" i="7"/>
  <c r="L18" i="7"/>
  <c r="G18" i="7"/>
  <c r="O17" i="7"/>
  <c r="G17" i="7"/>
  <c r="O16" i="7"/>
  <c r="L16" i="7"/>
  <c r="G16" i="7"/>
  <c r="L15" i="7"/>
  <c r="G15" i="7"/>
  <c r="O14" i="7"/>
  <c r="L14" i="7"/>
  <c r="G14" i="7"/>
  <c r="O13" i="7"/>
  <c r="L13" i="7"/>
  <c r="G13" i="7"/>
  <c r="O12" i="7"/>
  <c r="L12" i="7"/>
  <c r="G12" i="7"/>
  <c r="O11" i="7"/>
  <c r="L11" i="7"/>
  <c r="G11" i="7"/>
  <c r="O10" i="7"/>
  <c r="L10" i="7"/>
  <c r="G10" i="7"/>
  <c r="O9" i="7"/>
  <c r="L9" i="7"/>
  <c r="G9" i="7"/>
  <c r="O7" i="7"/>
  <c r="L7" i="7"/>
  <c r="G7" i="7"/>
  <c r="O6" i="7"/>
  <c r="L6" i="7"/>
  <c r="G6" i="7"/>
  <c r="O5" i="7"/>
  <c r="L5" i="7"/>
  <c r="G5" i="7"/>
  <c r="F181" i="6"/>
  <c r="E181" i="6"/>
  <c r="D181" i="6"/>
  <c r="C181" i="6"/>
  <c r="B181" i="6"/>
  <c r="F180" i="6"/>
  <c r="E180" i="6"/>
  <c r="D180" i="6"/>
  <c r="C180" i="6"/>
  <c r="B180" i="6"/>
  <c r="F179" i="6"/>
  <c r="E179" i="6"/>
  <c r="D179" i="6"/>
  <c r="C179" i="6"/>
  <c r="B179" i="6"/>
  <c r="F178" i="6"/>
  <c r="E178" i="6"/>
  <c r="D178" i="6"/>
  <c r="C178" i="6"/>
  <c r="B178" i="6"/>
  <c r="G172" i="6"/>
  <c r="F172" i="6"/>
  <c r="E172" i="6"/>
  <c r="D172" i="6"/>
  <c r="C172" i="6"/>
  <c r="G171" i="6"/>
  <c r="F171" i="6"/>
  <c r="E171" i="6"/>
  <c r="D171" i="6"/>
  <c r="C171" i="6"/>
  <c r="G170" i="6"/>
  <c r="F170" i="6"/>
  <c r="E170" i="6"/>
  <c r="D170" i="6"/>
  <c r="C170" i="6"/>
  <c r="G169" i="6"/>
  <c r="F169" i="6"/>
  <c r="E169" i="6"/>
  <c r="D169" i="6"/>
  <c r="C169" i="6"/>
  <c r="G168" i="6"/>
  <c r="F168" i="6"/>
  <c r="E168" i="6"/>
  <c r="D168" i="6"/>
  <c r="C168" i="6"/>
  <c r="G167" i="6"/>
  <c r="F167" i="6"/>
  <c r="E167" i="6"/>
  <c r="D167" i="6"/>
  <c r="C167" i="6"/>
  <c r="G166" i="6"/>
  <c r="F166" i="6"/>
  <c r="E166" i="6"/>
  <c r="D166" i="6"/>
  <c r="C166" i="6"/>
  <c r="G165" i="6"/>
  <c r="F165" i="6"/>
  <c r="E165" i="6"/>
  <c r="D165" i="6"/>
  <c r="C165" i="6"/>
  <c r="G164" i="6"/>
  <c r="F164" i="6"/>
  <c r="E164" i="6"/>
  <c r="D164" i="6"/>
  <c r="C164" i="6"/>
  <c r="G163" i="6"/>
  <c r="F163" i="6"/>
  <c r="E163" i="6"/>
  <c r="D163" i="6"/>
  <c r="C163" i="6"/>
  <c r="G162" i="6"/>
  <c r="F162" i="6"/>
  <c r="E162" i="6"/>
  <c r="D162" i="6"/>
  <c r="C162" i="6"/>
  <c r="G161" i="6"/>
  <c r="F161" i="6"/>
  <c r="E161" i="6"/>
  <c r="D161" i="6"/>
  <c r="C161" i="6"/>
  <c r="G160" i="6"/>
  <c r="F160" i="6"/>
  <c r="E160" i="6"/>
  <c r="D160" i="6"/>
  <c r="C160" i="6"/>
  <c r="G159" i="6"/>
  <c r="F159" i="6"/>
  <c r="E159" i="6"/>
  <c r="D159" i="6"/>
  <c r="C159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5" i="6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O28" i="5"/>
  <c r="N27" i="5"/>
  <c r="M27" i="5"/>
  <c r="K27" i="5"/>
  <c r="J27" i="5"/>
  <c r="I27" i="5"/>
  <c r="H27" i="5"/>
  <c r="F27" i="5"/>
  <c r="E27" i="5"/>
  <c r="D27" i="5"/>
  <c r="P26" i="5"/>
  <c r="L26" i="5"/>
  <c r="G26" i="5"/>
  <c r="P25" i="5"/>
  <c r="L25" i="5"/>
  <c r="G25" i="5"/>
  <c r="P24" i="5"/>
  <c r="L24" i="5"/>
  <c r="G24" i="5"/>
  <c r="P23" i="5"/>
  <c r="L23" i="5"/>
  <c r="G23" i="5"/>
  <c r="P22" i="5"/>
  <c r="L22" i="5"/>
  <c r="G22" i="5"/>
  <c r="P21" i="5"/>
  <c r="L21" i="5"/>
  <c r="G21" i="5"/>
  <c r="P20" i="5"/>
  <c r="L20" i="5"/>
  <c r="G20" i="5"/>
  <c r="P19" i="5"/>
  <c r="L19" i="5"/>
  <c r="G19" i="5"/>
  <c r="P18" i="5"/>
  <c r="L18" i="5"/>
  <c r="G18" i="5"/>
  <c r="P17" i="5"/>
  <c r="L17" i="5"/>
  <c r="G17" i="5"/>
  <c r="L16" i="5"/>
  <c r="G16" i="5"/>
  <c r="O15" i="5"/>
  <c r="L15" i="5"/>
  <c r="G15" i="5"/>
  <c r="O14" i="5"/>
  <c r="L14" i="5"/>
  <c r="G14" i="5"/>
  <c r="O13" i="5"/>
  <c r="L13" i="5"/>
  <c r="G13" i="5"/>
  <c r="O12" i="5"/>
  <c r="L12" i="5"/>
  <c r="G12" i="5"/>
  <c r="O11" i="5"/>
  <c r="P11" i="5" s="1"/>
  <c r="G11" i="5"/>
  <c r="O10" i="5"/>
  <c r="L10" i="5"/>
  <c r="G10" i="5"/>
  <c r="O9" i="5"/>
  <c r="L9" i="5"/>
  <c r="G9" i="5"/>
  <c r="O7" i="5"/>
  <c r="L7" i="5"/>
  <c r="G7" i="5"/>
  <c r="O6" i="5"/>
  <c r="L6" i="5"/>
  <c r="G6" i="5"/>
  <c r="L5" i="5"/>
  <c r="G5" i="5"/>
  <c r="F181" i="4"/>
  <c r="E181" i="4"/>
  <c r="D181" i="4"/>
  <c r="C181" i="4"/>
  <c r="B181" i="4"/>
  <c r="F180" i="4"/>
  <c r="E180" i="4"/>
  <c r="D180" i="4"/>
  <c r="C180" i="4"/>
  <c r="B180" i="4"/>
  <c r="F179" i="4"/>
  <c r="E179" i="4"/>
  <c r="D179" i="4"/>
  <c r="C179" i="4"/>
  <c r="B179" i="4"/>
  <c r="F178" i="4"/>
  <c r="E178" i="4"/>
  <c r="D178" i="4"/>
  <c r="C178" i="4"/>
  <c r="B178" i="4"/>
  <c r="B182" i="4" s="1"/>
  <c r="G172" i="4"/>
  <c r="F172" i="4"/>
  <c r="E172" i="4"/>
  <c r="D172" i="4"/>
  <c r="C172" i="4"/>
  <c r="G171" i="4"/>
  <c r="F171" i="4"/>
  <c r="E171" i="4"/>
  <c r="D171" i="4"/>
  <c r="C171" i="4"/>
  <c r="G170" i="4"/>
  <c r="F170" i="4"/>
  <c r="E170" i="4"/>
  <c r="D170" i="4"/>
  <c r="C170" i="4"/>
  <c r="G169" i="4"/>
  <c r="F169" i="4"/>
  <c r="E169" i="4"/>
  <c r="D169" i="4"/>
  <c r="C169" i="4"/>
  <c r="G168" i="4"/>
  <c r="F168" i="4"/>
  <c r="E168" i="4"/>
  <c r="D168" i="4"/>
  <c r="C168" i="4"/>
  <c r="G167" i="4"/>
  <c r="F167" i="4"/>
  <c r="E167" i="4"/>
  <c r="D167" i="4"/>
  <c r="C167" i="4"/>
  <c r="G166" i="4"/>
  <c r="F166" i="4"/>
  <c r="E166" i="4"/>
  <c r="D166" i="4"/>
  <c r="C166" i="4"/>
  <c r="G165" i="4"/>
  <c r="F165" i="4"/>
  <c r="E165" i="4"/>
  <c r="D165" i="4"/>
  <c r="C165" i="4"/>
  <c r="G164" i="4"/>
  <c r="F164" i="4"/>
  <c r="E164" i="4"/>
  <c r="D164" i="4"/>
  <c r="C164" i="4"/>
  <c r="G163" i="4"/>
  <c r="F163" i="4"/>
  <c r="E163" i="4"/>
  <c r="D163" i="4"/>
  <c r="C163" i="4"/>
  <c r="G162" i="4"/>
  <c r="F162" i="4"/>
  <c r="E162" i="4"/>
  <c r="D162" i="4"/>
  <c r="C162" i="4"/>
  <c r="G161" i="4"/>
  <c r="F161" i="4"/>
  <c r="E161" i="4"/>
  <c r="D161" i="4"/>
  <c r="C161" i="4"/>
  <c r="G160" i="4"/>
  <c r="F160" i="4"/>
  <c r="E160" i="4"/>
  <c r="D160" i="4"/>
  <c r="C160" i="4"/>
  <c r="G159" i="4"/>
  <c r="F159" i="4"/>
  <c r="E159" i="4"/>
  <c r="D159" i="4"/>
  <c r="C159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O22" i="3"/>
  <c r="N21" i="3"/>
  <c r="M21" i="3"/>
  <c r="K21" i="3"/>
  <c r="J21" i="3"/>
  <c r="I21" i="3"/>
  <c r="H21" i="3"/>
  <c r="F21" i="3"/>
  <c r="E21" i="3"/>
  <c r="D21" i="3"/>
  <c r="P20" i="3"/>
  <c r="L20" i="3"/>
  <c r="G20" i="3"/>
  <c r="P19" i="3"/>
  <c r="L19" i="3"/>
  <c r="G19" i="3"/>
  <c r="P18" i="3"/>
  <c r="L18" i="3"/>
  <c r="G18" i="3"/>
  <c r="P17" i="3"/>
  <c r="L17" i="3"/>
  <c r="G17" i="3"/>
  <c r="P16" i="3"/>
  <c r="L16" i="3"/>
  <c r="G16" i="3"/>
  <c r="P15" i="3"/>
  <c r="L15" i="3"/>
  <c r="G15" i="3"/>
  <c r="L14" i="3"/>
  <c r="G14" i="3"/>
  <c r="P13" i="3"/>
  <c r="L13" i="3"/>
  <c r="G13" i="3"/>
  <c r="L12" i="3"/>
  <c r="P12" i="3" s="1"/>
  <c r="G12" i="3"/>
  <c r="L11" i="3"/>
  <c r="G11" i="3"/>
  <c r="L10" i="3"/>
  <c r="P10" i="3" s="1"/>
  <c r="G10" i="3"/>
  <c r="L9" i="3"/>
  <c r="G9" i="3"/>
  <c r="O8" i="3"/>
  <c r="L8" i="3"/>
  <c r="G8" i="3"/>
  <c r="O7" i="3"/>
  <c r="L7" i="3"/>
  <c r="G7" i="3"/>
  <c r="O6" i="3"/>
  <c r="L6" i="3"/>
  <c r="G6" i="3"/>
  <c r="O5" i="3"/>
  <c r="L5" i="3"/>
  <c r="G5" i="3"/>
  <c r="F44" i="2"/>
  <c r="E44" i="2"/>
  <c r="D44" i="2"/>
  <c r="P15" i="2"/>
  <c r="O15" i="2"/>
  <c r="N15" i="2"/>
  <c r="L15" i="2"/>
  <c r="K15" i="2"/>
  <c r="J15" i="2"/>
  <c r="I15" i="2"/>
  <c r="G15" i="2"/>
  <c r="F15" i="2"/>
  <c r="E15" i="2"/>
  <c r="C15" i="2"/>
  <c r="Q14" i="2"/>
  <c r="M14" i="2"/>
  <c r="H14" i="2"/>
  <c r="Q13" i="2"/>
  <c r="M13" i="2"/>
  <c r="H13" i="2"/>
  <c r="Q12" i="2"/>
  <c r="M12" i="2"/>
  <c r="H12" i="2"/>
  <c r="Q11" i="2"/>
  <c r="M11" i="2"/>
  <c r="H11" i="2"/>
  <c r="Q10" i="2"/>
  <c r="M10" i="2"/>
  <c r="H10" i="2"/>
  <c r="Q9" i="2"/>
  <c r="M9" i="2"/>
  <c r="H9" i="2"/>
  <c r="Q8" i="2"/>
  <c r="M8" i="2"/>
  <c r="H8" i="2"/>
  <c r="Q7" i="2"/>
  <c r="M7" i="2"/>
  <c r="H7" i="2"/>
  <c r="Q6" i="2"/>
  <c r="M6" i="2"/>
  <c r="H6" i="2"/>
  <c r="Q5" i="2"/>
  <c r="M5" i="2"/>
  <c r="H5" i="2"/>
  <c r="H14" i="1"/>
  <c r="H13" i="1"/>
  <c r="H12" i="1"/>
  <c r="H11" i="1"/>
  <c r="H10" i="1"/>
  <c r="H9" i="1"/>
  <c r="H8" i="1"/>
  <c r="H7" i="1"/>
  <c r="H6" i="1"/>
  <c r="H5" i="1"/>
  <c r="P9" i="7" l="1"/>
  <c r="P13" i="7"/>
  <c r="P16" i="7"/>
  <c r="P5" i="19"/>
  <c r="L19" i="19"/>
  <c r="P7" i="19"/>
  <c r="G20" i="19"/>
  <c r="B182" i="20"/>
  <c r="L21" i="17"/>
  <c r="P7" i="17"/>
  <c r="Q15" i="2"/>
  <c r="H15" i="2"/>
  <c r="M15" i="2"/>
  <c r="G19" i="21"/>
  <c r="B182" i="22"/>
  <c r="L21" i="3"/>
  <c r="G22" i="3"/>
  <c r="L22" i="3"/>
  <c r="P7" i="7"/>
  <c r="P12" i="7"/>
  <c r="G29" i="7"/>
  <c r="P14" i="13"/>
  <c r="G25" i="13"/>
  <c r="G26" i="13"/>
  <c r="L26" i="13"/>
  <c r="L23" i="15"/>
  <c r="G21" i="17"/>
  <c r="P5" i="17"/>
  <c r="L22" i="17"/>
  <c r="G19" i="19"/>
  <c r="P6" i="19"/>
  <c r="P8" i="19"/>
  <c r="L20" i="19"/>
  <c r="G23" i="15"/>
  <c r="G22" i="17"/>
  <c r="G18" i="21"/>
  <c r="L19" i="21"/>
  <c r="B182" i="10"/>
  <c r="F182" i="22"/>
  <c r="P7" i="21"/>
  <c r="O18" i="21"/>
  <c r="C173" i="10"/>
  <c r="F182" i="20"/>
  <c r="G181" i="20"/>
  <c r="D182" i="20"/>
  <c r="F173" i="20"/>
  <c r="H167" i="20"/>
  <c r="H163" i="20"/>
  <c r="G173" i="20"/>
  <c r="H161" i="20"/>
  <c r="H166" i="20"/>
  <c r="H164" i="20"/>
  <c r="H168" i="20"/>
  <c r="H171" i="20"/>
  <c r="D173" i="20"/>
  <c r="H162" i="20"/>
  <c r="H169" i="20"/>
  <c r="H172" i="20"/>
  <c r="C173" i="20"/>
  <c r="H165" i="20"/>
  <c r="E173" i="20"/>
  <c r="H160" i="20"/>
  <c r="H170" i="20"/>
  <c r="C182" i="20"/>
  <c r="G179" i="20"/>
  <c r="E182" i="20"/>
  <c r="G180" i="20"/>
  <c r="B182" i="18"/>
  <c r="P8" i="17"/>
  <c r="F182" i="18"/>
  <c r="C182" i="18"/>
  <c r="O21" i="17"/>
  <c r="D182" i="14"/>
  <c r="D182" i="10"/>
  <c r="E173" i="10"/>
  <c r="G179" i="10"/>
  <c r="G173" i="10"/>
  <c r="P13" i="5"/>
  <c r="E182" i="14"/>
  <c r="P13" i="13"/>
  <c r="B182" i="14"/>
  <c r="G180" i="14"/>
  <c r="O25" i="13"/>
  <c r="P11" i="13"/>
  <c r="H172" i="14"/>
  <c r="C182" i="14"/>
  <c r="F173" i="14"/>
  <c r="H161" i="14"/>
  <c r="H168" i="14"/>
  <c r="H169" i="14"/>
  <c r="C173" i="14"/>
  <c r="G173" i="14"/>
  <c r="E173" i="14"/>
  <c r="H171" i="14"/>
  <c r="H164" i="14"/>
  <c r="D173" i="14"/>
  <c r="H167" i="14"/>
  <c r="P9" i="13"/>
  <c r="H162" i="14"/>
  <c r="H166" i="14"/>
  <c r="P7" i="13"/>
  <c r="H160" i="14"/>
  <c r="H163" i="14"/>
  <c r="H170" i="14"/>
  <c r="F182" i="14"/>
  <c r="G181" i="14"/>
  <c r="G179" i="14"/>
  <c r="H166" i="10"/>
  <c r="C182" i="10"/>
  <c r="G178" i="10"/>
  <c r="H178" i="10" s="1"/>
  <c r="G180" i="10"/>
  <c r="H159" i="10"/>
  <c r="I159" i="10" s="1"/>
  <c r="H161" i="10"/>
  <c r="H167" i="10"/>
  <c r="H169" i="10"/>
  <c r="H162" i="10"/>
  <c r="H170" i="10"/>
  <c r="F173" i="10"/>
  <c r="H160" i="10"/>
  <c r="D173" i="10"/>
  <c r="H164" i="10"/>
  <c r="H165" i="10"/>
  <c r="H168" i="10"/>
  <c r="H171" i="10"/>
  <c r="H172" i="10"/>
  <c r="F182" i="10"/>
  <c r="G181" i="10"/>
  <c r="L25" i="13"/>
  <c r="F173" i="22"/>
  <c r="C182" i="22"/>
  <c r="D182" i="22"/>
  <c r="E182" i="22"/>
  <c r="G180" i="22"/>
  <c r="H161" i="22"/>
  <c r="H169" i="22"/>
  <c r="H171" i="22"/>
  <c r="H163" i="22"/>
  <c r="H166" i="22"/>
  <c r="H167" i="22"/>
  <c r="E173" i="22"/>
  <c r="P6" i="21"/>
  <c r="C173" i="22"/>
  <c r="G173" i="22"/>
  <c r="H160" i="22"/>
  <c r="H164" i="22"/>
  <c r="H168" i="22"/>
  <c r="P5" i="21"/>
  <c r="D173" i="22"/>
  <c r="H159" i="22"/>
  <c r="I159" i="22" s="1"/>
  <c r="H165" i="22"/>
  <c r="H170" i="22"/>
  <c r="H172" i="22"/>
  <c r="H162" i="22"/>
  <c r="G179" i="22"/>
  <c r="G181" i="22"/>
  <c r="G181" i="18"/>
  <c r="G179" i="18"/>
  <c r="D182" i="18"/>
  <c r="G180" i="18"/>
  <c r="H168" i="18"/>
  <c r="C173" i="18"/>
  <c r="G173" i="18"/>
  <c r="H162" i="18"/>
  <c r="H163" i="18"/>
  <c r="H171" i="18"/>
  <c r="P6" i="17"/>
  <c r="P9" i="17"/>
  <c r="H159" i="18"/>
  <c r="I159" i="18" s="1"/>
  <c r="H165" i="18"/>
  <c r="H169" i="18"/>
  <c r="H172" i="18"/>
  <c r="H167" i="18"/>
  <c r="H170" i="18"/>
  <c r="P10" i="17"/>
  <c r="F173" i="18"/>
  <c r="E173" i="18"/>
  <c r="H161" i="18"/>
  <c r="H164" i="18"/>
  <c r="H166" i="18"/>
  <c r="E182" i="18"/>
  <c r="B182" i="6"/>
  <c r="E182" i="16"/>
  <c r="C182" i="16"/>
  <c r="G181" i="16"/>
  <c r="H172" i="6"/>
  <c r="C182" i="6"/>
  <c r="H170" i="6"/>
  <c r="P9" i="5"/>
  <c r="H161" i="6"/>
  <c r="H169" i="6"/>
  <c r="P8" i="7"/>
  <c r="P6" i="5"/>
  <c r="P15" i="5"/>
  <c r="G180" i="6"/>
  <c r="D173" i="4"/>
  <c r="F173" i="4"/>
  <c r="H163" i="4"/>
  <c r="H171" i="4"/>
  <c r="O21" i="3"/>
  <c r="P6" i="3"/>
  <c r="P8" i="3"/>
  <c r="G179" i="4"/>
  <c r="G181" i="4"/>
  <c r="H170" i="4"/>
  <c r="H161" i="4"/>
  <c r="P9" i="3"/>
  <c r="C173" i="4"/>
  <c r="H160" i="4"/>
  <c r="H162" i="4"/>
  <c r="H164" i="4"/>
  <c r="H165" i="4"/>
  <c r="H167" i="4"/>
  <c r="H169" i="4"/>
  <c r="H172" i="4"/>
  <c r="C182" i="4"/>
  <c r="E182" i="4"/>
  <c r="D182" i="4"/>
  <c r="F182" i="4"/>
  <c r="G180" i="4"/>
  <c r="G21" i="3"/>
  <c r="P7" i="15"/>
  <c r="P11" i="15"/>
  <c r="B182" i="16"/>
  <c r="D182" i="16"/>
  <c r="F182" i="16"/>
  <c r="P12" i="11"/>
  <c r="P13" i="11"/>
  <c r="P10" i="11"/>
  <c r="P9" i="11"/>
  <c r="P8" i="11"/>
  <c r="P5" i="11"/>
  <c r="G19" i="11"/>
  <c r="O21" i="9"/>
  <c r="L21" i="9"/>
  <c r="P10" i="9"/>
  <c r="G22" i="9"/>
  <c r="G18" i="11"/>
  <c r="P6" i="11"/>
  <c r="P9" i="9"/>
  <c r="P6" i="9"/>
  <c r="P7" i="9"/>
  <c r="P8" i="9"/>
  <c r="G21" i="9"/>
  <c r="L22" i="9"/>
  <c r="L19" i="11"/>
  <c r="E182" i="12"/>
  <c r="D182" i="6"/>
  <c r="G179" i="6"/>
  <c r="H166" i="6"/>
  <c r="H168" i="6"/>
  <c r="H159" i="6"/>
  <c r="I159" i="6" s="1"/>
  <c r="H171" i="6"/>
  <c r="P14" i="5"/>
  <c r="C173" i="6"/>
  <c r="E173" i="6"/>
  <c r="G173" i="6"/>
  <c r="H160" i="6"/>
  <c r="H162" i="6"/>
  <c r="D173" i="6"/>
  <c r="H164" i="6"/>
  <c r="H165" i="6"/>
  <c r="H167" i="6"/>
  <c r="G181" i="6"/>
  <c r="G178" i="6"/>
  <c r="F182" i="6"/>
  <c r="O27" i="5"/>
  <c r="P7" i="5"/>
  <c r="P16" i="5"/>
  <c r="P10" i="5"/>
  <c r="L29" i="7"/>
  <c r="G27" i="5"/>
  <c r="P6" i="7"/>
  <c r="P11" i="7"/>
  <c r="P15" i="7"/>
  <c r="L27" i="5"/>
  <c r="G28" i="5"/>
  <c r="L28" i="5"/>
  <c r="P10" i="7"/>
  <c r="P14" i="7"/>
  <c r="G28" i="7"/>
  <c r="D173" i="16"/>
  <c r="E173" i="16"/>
  <c r="O23" i="15"/>
  <c r="P8" i="15"/>
  <c r="P12" i="15"/>
  <c r="H170" i="16"/>
  <c r="G180" i="16"/>
  <c r="H167" i="16"/>
  <c r="P6" i="15"/>
  <c r="P10" i="15"/>
  <c r="H161" i="16"/>
  <c r="H168" i="16"/>
  <c r="H172" i="16"/>
  <c r="H159" i="16"/>
  <c r="I159" i="16" s="1"/>
  <c r="H166" i="16"/>
  <c r="H169" i="16"/>
  <c r="C173" i="16"/>
  <c r="H162" i="16"/>
  <c r="H163" i="16"/>
  <c r="F173" i="16"/>
  <c r="H160" i="16"/>
  <c r="G173" i="16"/>
  <c r="H164" i="16"/>
  <c r="H171" i="16"/>
  <c r="G179" i="16"/>
  <c r="G178" i="16"/>
  <c r="H178" i="16" s="1"/>
  <c r="F173" i="12"/>
  <c r="H172" i="12"/>
  <c r="G180" i="12"/>
  <c r="G179" i="12"/>
  <c r="D173" i="12"/>
  <c r="C173" i="12"/>
  <c r="H161" i="12"/>
  <c r="H163" i="12"/>
  <c r="H171" i="12"/>
  <c r="E173" i="12"/>
  <c r="H164" i="12"/>
  <c r="H170" i="12"/>
  <c r="O18" i="11"/>
  <c r="H168" i="12"/>
  <c r="P7" i="11"/>
  <c r="H162" i="12"/>
  <c r="H165" i="12"/>
  <c r="G173" i="12"/>
  <c r="H160" i="12"/>
  <c r="H166" i="12"/>
  <c r="H167" i="12"/>
  <c r="H169" i="12"/>
  <c r="B182" i="12"/>
  <c r="F182" i="12"/>
  <c r="C182" i="12"/>
  <c r="G181" i="12"/>
  <c r="D182" i="12"/>
  <c r="F182" i="8"/>
  <c r="E173" i="8"/>
  <c r="O28" i="7"/>
  <c r="H160" i="8"/>
  <c r="H165" i="8"/>
  <c r="H168" i="8"/>
  <c r="H169" i="8"/>
  <c r="G178" i="8"/>
  <c r="H178" i="8" s="1"/>
  <c r="G181" i="8"/>
  <c r="G173" i="8"/>
  <c r="H166" i="8"/>
  <c r="D182" i="8"/>
  <c r="H159" i="8"/>
  <c r="I159" i="8" s="1"/>
  <c r="H162" i="8"/>
  <c r="H167" i="8"/>
  <c r="E182" i="8"/>
  <c r="G179" i="8"/>
  <c r="H172" i="8"/>
  <c r="C173" i="8"/>
  <c r="H163" i="8"/>
  <c r="H164" i="8"/>
  <c r="D173" i="8"/>
  <c r="F173" i="8"/>
  <c r="H170" i="8"/>
  <c r="H171" i="8"/>
  <c r="B182" i="8"/>
  <c r="C182" i="8"/>
  <c r="P5" i="7"/>
  <c r="L28" i="7"/>
  <c r="P17" i="7"/>
  <c r="P19" i="19"/>
  <c r="G173" i="4"/>
  <c r="H166" i="4"/>
  <c r="H168" i="4"/>
  <c r="E173" i="4"/>
  <c r="H159" i="14"/>
  <c r="G178" i="14"/>
  <c r="P5" i="15"/>
  <c r="H165" i="16"/>
  <c r="L18" i="21"/>
  <c r="G178" i="4"/>
  <c r="E182" i="6"/>
  <c r="E182" i="10"/>
  <c r="H159" i="12"/>
  <c r="G178" i="12"/>
  <c r="P5" i="13"/>
  <c r="H165" i="14"/>
  <c r="D173" i="18"/>
  <c r="O19" i="19"/>
  <c r="H159" i="20"/>
  <c r="G178" i="20"/>
  <c r="F173" i="6"/>
  <c r="H160" i="18"/>
  <c r="H159" i="4"/>
  <c r="H163" i="6"/>
  <c r="H161" i="8"/>
  <c r="G180" i="8"/>
  <c r="H163" i="10"/>
  <c r="G178" i="18"/>
  <c r="G178" i="22"/>
  <c r="P5" i="3"/>
  <c r="L18" i="11"/>
  <c r="P18" i="21" l="1"/>
  <c r="H179" i="10"/>
  <c r="H180" i="10" s="1"/>
  <c r="H181" i="10" s="1"/>
  <c r="P21" i="17"/>
  <c r="P25" i="13"/>
  <c r="G182" i="10"/>
  <c r="H173" i="10"/>
  <c r="I160" i="10"/>
  <c r="I161" i="10" s="1"/>
  <c r="I162" i="10" s="1"/>
  <c r="I163" i="10" s="1"/>
  <c r="I164" i="10" s="1"/>
  <c r="I165" i="10" s="1"/>
  <c r="I166" i="10" s="1"/>
  <c r="I167" i="10" s="1"/>
  <c r="I168" i="10" s="1"/>
  <c r="I169" i="10" s="1"/>
  <c r="I170" i="10" s="1"/>
  <c r="I171" i="10" s="1"/>
  <c r="I172" i="10" s="1"/>
  <c r="H173" i="22"/>
  <c r="I160" i="22"/>
  <c r="I161" i="22" s="1"/>
  <c r="I162" i="22" s="1"/>
  <c r="I163" i="22" s="1"/>
  <c r="I164" i="22" s="1"/>
  <c r="I165" i="22" s="1"/>
  <c r="I166" i="22" s="1"/>
  <c r="I167" i="22" s="1"/>
  <c r="I168" i="22" s="1"/>
  <c r="I169" i="22" s="1"/>
  <c r="I170" i="22" s="1"/>
  <c r="I171" i="22" s="1"/>
  <c r="I172" i="22" s="1"/>
  <c r="H173" i="18"/>
  <c r="I160" i="18"/>
  <c r="I161" i="18" s="1"/>
  <c r="I162" i="18" s="1"/>
  <c r="I163" i="18" s="1"/>
  <c r="I164" i="18" s="1"/>
  <c r="I165" i="18" s="1"/>
  <c r="I166" i="18" s="1"/>
  <c r="I167" i="18" s="1"/>
  <c r="I168" i="18" s="1"/>
  <c r="I169" i="18" s="1"/>
  <c r="I170" i="18" s="1"/>
  <c r="I171" i="18" s="1"/>
  <c r="I172" i="18" s="1"/>
  <c r="G182" i="6"/>
  <c r="P21" i="3"/>
  <c r="P23" i="15"/>
  <c r="P18" i="11"/>
  <c r="P21" i="9"/>
  <c r="I160" i="6"/>
  <c r="I161" i="6" s="1"/>
  <c r="I162" i="6" s="1"/>
  <c r="I163" i="6" s="1"/>
  <c r="I164" i="6" s="1"/>
  <c r="I165" i="6" s="1"/>
  <c r="I166" i="6" s="1"/>
  <c r="I167" i="6" s="1"/>
  <c r="I168" i="6" s="1"/>
  <c r="I169" i="6" s="1"/>
  <c r="I170" i="6" s="1"/>
  <c r="I171" i="6" s="1"/>
  <c r="I172" i="6" s="1"/>
  <c r="H173" i="6"/>
  <c r="H178" i="6"/>
  <c r="H179" i="6" s="1"/>
  <c r="H180" i="6" s="1"/>
  <c r="H181" i="6" s="1"/>
  <c r="P27" i="5"/>
  <c r="I160" i="16"/>
  <c r="I161" i="16" s="1"/>
  <c r="I162" i="16" s="1"/>
  <c r="I163" i="16" s="1"/>
  <c r="I164" i="16" s="1"/>
  <c r="I165" i="16" s="1"/>
  <c r="I166" i="16" s="1"/>
  <c r="I167" i="16" s="1"/>
  <c r="I168" i="16" s="1"/>
  <c r="I169" i="16" s="1"/>
  <c r="I170" i="16" s="1"/>
  <c r="I171" i="16" s="1"/>
  <c r="I172" i="16" s="1"/>
  <c r="H179" i="16"/>
  <c r="H180" i="16" s="1"/>
  <c r="H181" i="16" s="1"/>
  <c r="H173" i="16"/>
  <c r="G182" i="16"/>
  <c r="I160" i="8"/>
  <c r="I161" i="8" s="1"/>
  <c r="I162" i="8" s="1"/>
  <c r="I163" i="8" s="1"/>
  <c r="I164" i="8" s="1"/>
  <c r="I165" i="8" s="1"/>
  <c r="I166" i="8" s="1"/>
  <c r="I167" i="8" s="1"/>
  <c r="I168" i="8" s="1"/>
  <c r="I169" i="8" s="1"/>
  <c r="I170" i="8" s="1"/>
  <c r="I171" i="8" s="1"/>
  <c r="I172" i="8" s="1"/>
  <c r="H179" i="8"/>
  <c r="H180" i="8" s="1"/>
  <c r="H181" i="8" s="1"/>
  <c r="G182" i="8"/>
  <c r="H173" i="8"/>
  <c r="P28" i="7"/>
  <c r="G182" i="22"/>
  <c r="H178" i="22"/>
  <c r="H179" i="22" s="1"/>
  <c r="H180" i="22" s="1"/>
  <c r="H181" i="22" s="1"/>
  <c r="G182" i="18"/>
  <c r="H178" i="18"/>
  <c r="H179" i="18" s="1"/>
  <c r="H180" i="18" s="1"/>
  <c r="H181" i="18" s="1"/>
  <c r="G182" i="14"/>
  <c r="H178" i="14"/>
  <c r="H179" i="14" s="1"/>
  <c r="H180" i="14" s="1"/>
  <c r="H181" i="14" s="1"/>
  <c r="G182" i="20"/>
  <c r="H178" i="20"/>
  <c r="H179" i="20" s="1"/>
  <c r="H180" i="20" s="1"/>
  <c r="H181" i="20" s="1"/>
  <c r="H173" i="12"/>
  <c r="I159" i="12"/>
  <c r="I160" i="12" s="1"/>
  <c r="I161" i="12" s="1"/>
  <c r="I162" i="12" s="1"/>
  <c r="I163" i="12" s="1"/>
  <c r="I164" i="12" s="1"/>
  <c r="I165" i="12" s="1"/>
  <c r="I166" i="12" s="1"/>
  <c r="I167" i="12" s="1"/>
  <c r="I168" i="12" s="1"/>
  <c r="I169" i="12" s="1"/>
  <c r="I170" i="12" s="1"/>
  <c r="I171" i="12" s="1"/>
  <c r="I172" i="12" s="1"/>
  <c r="H173" i="14"/>
  <c r="I159" i="14"/>
  <c r="I160" i="14" s="1"/>
  <c r="I161" i="14" s="1"/>
  <c r="I162" i="14" s="1"/>
  <c r="I163" i="14" s="1"/>
  <c r="I164" i="14" s="1"/>
  <c r="I165" i="14" s="1"/>
  <c r="I166" i="14" s="1"/>
  <c r="I167" i="14" s="1"/>
  <c r="I168" i="14" s="1"/>
  <c r="I169" i="14" s="1"/>
  <c r="I170" i="14" s="1"/>
  <c r="I171" i="14" s="1"/>
  <c r="I172" i="14" s="1"/>
  <c r="H173" i="4"/>
  <c r="I159" i="4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G182" i="4"/>
  <c r="H178" i="4"/>
  <c r="H179" i="4" s="1"/>
  <c r="H180" i="4" s="1"/>
  <c r="H181" i="4" s="1"/>
  <c r="G182" i="12"/>
  <c r="H178" i="12"/>
  <c r="H179" i="12" s="1"/>
  <c r="H180" i="12" s="1"/>
  <c r="H181" i="12" s="1"/>
  <c r="H173" i="20"/>
  <c r="I159" i="20"/>
  <c r="I160" i="20" s="1"/>
  <c r="I161" i="20" s="1"/>
  <c r="I162" i="20" s="1"/>
  <c r="I163" i="20" s="1"/>
  <c r="I164" i="20" s="1"/>
  <c r="I165" i="20" s="1"/>
  <c r="I166" i="20" s="1"/>
  <c r="I167" i="20" s="1"/>
  <c r="I168" i="20" s="1"/>
  <c r="I169" i="20" s="1"/>
  <c r="I170" i="20" s="1"/>
  <c r="I171" i="20" s="1"/>
  <c r="I172" i="20" s="1"/>
</calcChain>
</file>

<file path=xl/sharedStrings.xml><?xml version="1.0" encoding="utf-8"?>
<sst xmlns="http://schemas.openxmlformats.org/spreadsheetml/2006/main" count="2035" uniqueCount="397">
  <si>
    <t>HIGHCREST SCHOOL — 2025/26 FEE SCHEDULE</t>
  </si>
  <si>
    <t>Oxford International Curriculum  •  Adentan, Accra  •  All fees quoted in GHS</t>
  </si>
  <si>
    <t>Class Level</t>
  </si>
  <si>
    <t>Bird House</t>
  </si>
  <si>
    <t>Annual Fee</t>
  </si>
  <si>
    <t>Termly Fee</t>
  </si>
  <si>
    <t>Staff OIC Fee</t>
  </si>
  <si>
    <t>Programme</t>
  </si>
  <si>
    <t>Weeks</t>
  </si>
  <si>
    <t>Monthly Equiv.</t>
  </si>
  <si>
    <t>Crèche</t>
  </si>
  <si>
    <t>Robins</t>
  </si>
  <si>
    <t>Year-Round</t>
  </si>
  <si>
    <t>Nursery 1</t>
  </si>
  <si>
    <t>Starlings</t>
  </si>
  <si>
    <t>Nursery 2</t>
  </si>
  <si>
    <t>Goldfinches</t>
  </si>
  <si>
    <t>KG 1</t>
  </si>
  <si>
    <t>Kingfishers</t>
  </si>
  <si>
    <t>3-Term</t>
  </si>
  <si>
    <t>KG 2</t>
  </si>
  <si>
    <t>Hawks</t>
  </si>
  <si>
    <t>Grade 1</t>
  </si>
  <si>
    <t>Skylarks</t>
  </si>
  <si>
    <t>Grade 2</t>
  </si>
  <si>
    <t>Kestrels</t>
  </si>
  <si>
    <t>Grade 3</t>
  </si>
  <si>
    <t>Woodpeckers</t>
  </si>
  <si>
    <t>Grade 4</t>
  </si>
  <si>
    <t>Nightingales</t>
  </si>
  <si>
    <t>Grade 5</t>
  </si>
  <si>
    <t>Falcons</t>
  </si>
  <si>
    <t>DISCOUNT POLICY</t>
  </si>
  <si>
    <t>Discount Type</t>
  </si>
  <si>
    <t>Rate</t>
  </si>
  <si>
    <t>Eligibility</t>
  </si>
  <si>
    <t>Notes</t>
  </si>
  <si>
    <t>Founding Family</t>
  </si>
  <si>
    <t>5%</t>
  </si>
  <si>
    <t>Enrolled during inaugural year</t>
  </si>
  <si>
    <t>Ongoing loyalty benefit</t>
  </si>
  <si>
    <t>Sibling (2nd child)</t>
  </si>
  <si>
    <t>Second child from same family</t>
  </si>
  <si>
    <t>Applied to 2nd child's fee</t>
  </si>
  <si>
    <t>Sibling (3rd child)</t>
  </si>
  <si>
    <t>10%</t>
  </si>
  <si>
    <t>Third child from same family</t>
  </si>
  <si>
    <t>Applied to 3rd child's fee</t>
  </si>
  <si>
    <t>Staff Child</t>
  </si>
  <si>
    <t>OIC Only</t>
  </si>
  <si>
    <t>Teaching &amp; non-teaching staff</t>
  </si>
  <si>
    <t>Max 2 children; T3 fully covered</t>
  </si>
  <si>
    <t>Compassionate Waiver</t>
  </si>
  <si>
    <t>Case-by-case</t>
  </si>
  <si>
    <t>Proprietor's discretion</t>
  </si>
  <si>
    <t>Documented; reviewed each term</t>
  </si>
  <si>
    <t>IMPORTANT: Only the highest single discount applies. Discounts cannot be stacked.</t>
  </si>
  <si>
    <t>TERM 3 ARRANGEMENTS</t>
  </si>
  <si>
    <t>Staff children: Term 3 fees fully covered — no payment due.</t>
  </si>
  <si>
    <t>Non-staff pupils: Fresh termly fee charged for Term 3, plus any arrears from Terms 1 and 2.</t>
  </si>
  <si>
    <t>Crèche to Nursery 2 (year-round): Term 3 = remaining 2 quarters (Apr–Aug). Crèche: GHS 5,100 (Quarterly: 2,550 × 2 / Monthly: 1,020 × 5 / Lump sum 3% off: 4,947). Nursery: GHS 4,800 (Quarterly: 2,400 × 2 / Monthly: 960 × 5 / Lump sum 3% off: 4,656). Monthly rate = remaining balance ÷ 5 months. All standard options total the same.</t>
  </si>
  <si>
    <t>KG 1 to Grade 5 (3-term): Standard termly fee applies for Term 3.</t>
  </si>
  <si>
    <t>All outstanding balances must be cleared before re-enrolment for the 2026/27 academic year.</t>
  </si>
  <si>
    <t>5% late payment surcharge applies to arrears carried from Term 2 into Term 3.</t>
  </si>
  <si>
    <t>HIGHCREST SCHOOL — 2025/26 FULL YEAR FEE REGISTER (Terms 1, 2 &amp; 3)</t>
  </si>
  <si>
    <t>CLASS INFO</t>
  </si>
  <si>
    <t>TERM 1</t>
  </si>
  <si>
    <t>TERM 2</t>
  </si>
  <si>
    <t>TERM 3 (TEMPLATE)</t>
  </si>
  <si>
    <t>Class</t>
  </si>
  <si>
    <t>Enrolled</t>
  </si>
  <si>
    <t>T1 Due</t>
  </si>
  <si>
    <t>T1 Paid</t>
  </si>
  <si>
    <t>T1 Balance</t>
  </si>
  <si>
    <t>T1 Rate%</t>
  </si>
  <si>
    <t>T2 Due</t>
  </si>
  <si>
    <t>T2 Discount</t>
  </si>
  <si>
    <t>T2 Paid</t>
  </si>
  <si>
    <t>T2 Balance</t>
  </si>
  <si>
    <t>T2 Rate%</t>
  </si>
  <si>
    <t>T3 Fee</t>
  </si>
  <si>
    <t>T3 Discount</t>
  </si>
  <si>
    <t>T3 Arrears</t>
  </si>
  <si>
    <t>T3 Net Due</t>
  </si>
  <si>
    <t>TOTALS</t>
  </si>
  <si>
    <t>ARREARS TRACKER — Pupils with Outstanding Balances at End of Term 2</t>
  </si>
  <si>
    <t>Arrears added to Term 3 bill. All must be cleared before 2026/27 re-enrolment. Colour: Red = critical (&gt;GHS 3,000) | Amber = high (&gt;GHS 1,000) | Grey = to settle</t>
  </si>
  <si>
    <t>No.</t>
  </si>
  <si>
    <t>Pupil Name</t>
  </si>
  <si>
    <t>Arrears into T3</t>
  </si>
  <si>
    <t>Discount</t>
  </si>
  <si>
    <t>Status / Action Required</t>
  </si>
  <si>
    <t>Azasoo Jayden-Elyon Elikem</t>
  </si>
  <si>
    <t>—</t>
  </si>
  <si>
    <t>CRITICAL — only GHS 700 paid T1; zero T2</t>
  </si>
  <si>
    <t>Ayeh-Kumi Jomari Paakow</t>
  </si>
  <si>
    <t>CRITICAL — prior year BF; growing arrears</t>
  </si>
  <si>
    <t>Ayeh-Kumi Fiifi Jody</t>
  </si>
  <si>
    <t>Sibling</t>
  </si>
  <si>
    <t>CRITICAL — prior year BF GHS 3,820</t>
  </si>
  <si>
    <t>Owusu Okyem Emmanuella</t>
  </si>
  <si>
    <t>HIGH — prior year BF; no T2 fee charged</t>
  </si>
  <si>
    <t>Owusu Katakyie Nana Kwame</t>
  </si>
  <si>
    <t>HIGH — prior year BF GHS 3,140</t>
  </si>
  <si>
    <t>Morkeh Michelle</t>
  </si>
  <si>
    <t>CRITICAL — never paid T1 or T2</t>
  </si>
  <si>
    <t>Ampofo Yirenkyi Papa Kofi</t>
  </si>
  <si>
    <t>HIGH — prior year BF; no fees charged</t>
  </si>
  <si>
    <t>Appiah Zakiel Nana Kwame</t>
  </si>
  <si>
    <t>Growing arrears</t>
  </si>
  <si>
    <t>Asare Okaine Bismark</t>
  </si>
  <si>
    <t>T1 partial; no T2 fee charged</t>
  </si>
  <si>
    <t>Mensah-Aborampah Ayeyi Yeboah</t>
  </si>
  <si>
    <t>Consistent partial payer</t>
  </si>
  <si>
    <t>Morkeh Bradley</t>
  </si>
  <si>
    <t>Never paid T1; partial T2</t>
  </si>
  <si>
    <t>Appiah Serwaa Senam</t>
  </si>
  <si>
    <t>Partial payer both terms</t>
  </si>
  <si>
    <t>Mensah-Aborampah Asa Essilfie Owuraku</t>
  </si>
  <si>
    <t>Adugbira Mbo Ibiza</t>
  </si>
  <si>
    <t>New enrolment — partial T2</t>
  </si>
  <si>
    <t>Darko Asher Kukuwa</t>
  </si>
  <si>
    <t>Prior year BF; reducing</t>
  </si>
  <si>
    <t>Tagoe Henry</t>
  </si>
  <si>
    <t>Appiah Eno</t>
  </si>
  <si>
    <t>Staff — small arrears</t>
  </si>
  <si>
    <t>Boamah Nakie Pearl</t>
  </si>
  <si>
    <t>Staff — OIC arrears</t>
  </si>
  <si>
    <t>Boamah Nakour Perpetual</t>
  </si>
  <si>
    <t>Asare Nana Ama Sakyibea</t>
  </si>
  <si>
    <t>Reducing arrears</t>
  </si>
  <si>
    <t>Kassim Umar</t>
  </si>
  <si>
    <t>Mid-year joiner; small balance</t>
  </si>
  <si>
    <t>Nartey Zayne Nene Kwadjo</t>
  </si>
  <si>
    <t>Near-full payer</t>
  </si>
  <si>
    <t>Kanati Ava Bubune</t>
  </si>
  <si>
    <t>Minor balance after credit</t>
  </si>
  <si>
    <t>TOTAL ARREARS</t>
  </si>
  <si>
    <t>23 pupils with arrears out of 71 enrolled</t>
  </si>
  <si>
    <t>KEY FAMILY GROUPS (combined arrears):</t>
  </si>
  <si>
    <t>Ayeh-Kumi (Fiifi Jody + Jomari Paakow)</t>
  </si>
  <si>
    <t>GHS 7,590</t>
  </si>
  <si>
    <t>Owusu (Katakyie + Emmanuella)</t>
  </si>
  <si>
    <t>GHS 4,690</t>
  </si>
  <si>
    <t>Morkeh (Bradley + Michelle)</t>
  </si>
  <si>
    <t>GHS 3,045</t>
  </si>
  <si>
    <t>Mensah-Aborampah (Asa + Ayeyi)</t>
  </si>
  <si>
    <t>GHS 1,950</t>
  </si>
  <si>
    <t>Crèche: Robins  —  Community | Cheerfulness  |  Annual: GHS 10,000  |  Termly: GHS 2,550</t>
  </si>
  <si>
    <t>PUPIL DETAILS</t>
  </si>
  <si>
    <t>TERM 1 (COMPLETED)</t>
  </si>
  <si>
    <t>TERM 2 (COMPLETED)</t>
  </si>
  <si>
    <t>TERM 3 (ACTIVE — covers remainder of year; arrears included)</t>
  </si>
  <si>
    <t>NOTES</t>
  </si>
  <si>
    <t>T1 Fee</t>
  </si>
  <si>
    <t>T1 Arrears BF</t>
  </si>
  <si>
    <t>T2 Fee</t>
  </si>
  <si>
    <t>T2 Arrears BF</t>
  </si>
  <si>
    <t>T3 Paid</t>
  </si>
  <si>
    <t>T3 Balance</t>
  </si>
  <si>
    <t>Remarks / Waiver Notes</t>
  </si>
  <si>
    <t>Agyapong Awuraba Avril Phoebe</t>
  </si>
  <si>
    <t>T3 options: Lump GHS 4,947 (by 21 Apr) / Quarterly GHS 2,550 × 2 / Monthly GHS 1,020 × 5</t>
  </si>
  <si>
    <t>Ansu-Boamah Othniel</t>
  </si>
  <si>
    <t>Diko Nana Pokuah Elshaddai</t>
  </si>
  <si>
    <t>Lartey Akua Victoria</t>
  </si>
  <si>
    <t>Staff child — fees fully covered all terms</t>
  </si>
  <si>
    <t>Owusu Mensah Nera Jasmine</t>
  </si>
  <si>
    <t>Twum Kwao Barima</t>
  </si>
  <si>
    <t>Collection Rate:</t>
  </si>
  <si>
    <t>T1:</t>
  </si>
  <si>
    <t>T2:</t>
  </si>
  <si>
    <t>Crèche: Robins  —  PAYMENT RECEIPTS LOG  (Term 3, 2025/26: 21 Apr – 24 Jul 2026)</t>
  </si>
  <si>
    <t>Payment deadline: 30 June 2026  |  Enter one row per payment  |  T3 Paid on class register auto-updates via SUMIFS</t>
  </si>
  <si>
    <t>TRANSACTION DETAILS</t>
  </si>
  <si>
    <t>PAYMENT</t>
  </si>
  <si>
    <t>VERIFICATION</t>
  </si>
  <si>
    <t>Date</t>
  </si>
  <si>
    <t>Receipt No.</t>
  </si>
  <si>
    <t>Term</t>
  </si>
  <si>
    <t>Week</t>
  </si>
  <si>
    <t>Amount (GHS)</t>
  </si>
  <si>
    <t>Payment Method</t>
  </si>
  <si>
    <t>Received By</t>
  </si>
  <si>
    <t>Running Total</t>
  </si>
  <si>
    <t>Verified</t>
  </si>
  <si>
    <t>WEEKLY COLLECTION SUMMARY (auto-calculated from payment log)</t>
  </si>
  <si>
    <t>Week Starting</t>
  </si>
  <si>
    <t>Entries</t>
  </si>
  <si>
    <t>Cash</t>
  </si>
  <si>
    <t>MoMo (All)</t>
  </si>
  <si>
    <t>Bank Transfer</t>
  </si>
  <si>
    <t>Cheque</t>
  </si>
  <si>
    <t>Week Total</t>
  </si>
  <si>
    <t>Cumulative</t>
  </si>
  <si>
    <t>vs Deadline</t>
  </si>
  <si>
    <t>Wk 1 (21 Apr)</t>
  </si>
  <si>
    <t>Wk 2 (28 Apr)</t>
  </si>
  <si>
    <t>Wk 3 (05 May)</t>
  </si>
  <si>
    <t>Wk 4 (12 May)</t>
  </si>
  <si>
    <t>Wk 5 (19 May)</t>
  </si>
  <si>
    <t>Wk 6 (26 May)</t>
  </si>
  <si>
    <t>Wk 7 (02 Jun)</t>
  </si>
  <si>
    <t>Wk 8 (09 Jun)</t>
  </si>
  <si>
    <t>Wk 9 (16 Jun)</t>
  </si>
  <si>
    <t>Wk 10 (23 Jun)</t>
  </si>
  <si>
    <t>Wk 11 (30 Jun)</t>
  </si>
  <si>
    <t>Wk 12 (07 Jul)</t>
  </si>
  <si>
    <t>PAST DEADLINE</t>
  </si>
  <si>
    <t>Wk 13 (14 Jul)</t>
  </si>
  <si>
    <t>Wk 14 (21 Jul)</t>
  </si>
  <si>
    <t>TERM 3 TOTAL</t>
  </si>
  <si>
    <t>MONTHLY COLLECTION SUMMARY</t>
  </si>
  <si>
    <t>Month</t>
  </si>
  <si>
    <t>No. of Payments</t>
  </si>
  <si>
    <t>Month Total</t>
  </si>
  <si>
    <t>Target %</t>
  </si>
  <si>
    <t>Actual %</t>
  </si>
  <si>
    <t>Apr</t>
  </si>
  <si>
    <t>May</t>
  </si>
  <si>
    <t>Jun</t>
  </si>
  <si>
    <t>Jul</t>
  </si>
  <si>
    <t>TOTAL</t>
  </si>
  <si>
    <t>Nursery 1: Starlings  —  Teamwork | Adaptability  |  Annual: GHS 9,400  |  Termly: GHS 2,400</t>
  </si>
  <si>
    <t>Staff child — T1 partial payment (GHS 495 short); T2 arrears GHS 360</t>
  </si>
  <si>
    <t>Sibling discount — chronic arrears carried from prior year; GHS 3,820 BF into T1</t>
  </si>
  <si>
    <t>Bakari Kuuku Curtis</t>
  </si>
  <si>
    <t>T3 options: Lump GHS 4,656 (by 21 Apr) / Quarterly GHS 2,400 × 2 / Monthly GHS 960 × 5</t>
  </si>
  <si>
    <t>Staff child — T1 partial (GHS 350 outstanding); T2 arrears persisting</t>
  </si>
  <si>
    <t>Boakye Wren Okatakyie</t>
  </si>
  <si>
    <t>Staff child — fully settled</t>
  </si>
  <si>
    <t>Sibling 5% (GHS 240.0) + GHS 1,000 credit. Net: GHS 3,560.00. Options: Quarterly GHS 2400 × 2 / Monthly GHS 800 × 5</t>
  </si>
  <si>
    <t>Lartey Madeeha Larley</t>
  </si>
  <si>
    <t>Monney Aseda</t>
  </si>
  <si>
    <t>Obeng Nana Osei Kwasi Agyemang Jayden</t>
  </si>
  <si>
    <t>Staff child — T1 partial; T2 settled</t>
  </si>
  <si>
    <t>Rufai Rafui Junior Kobby</t>
  </si>
  <si>
    <t>Sangber-Dery Nuornon Peter-Claver</t>
  </si>
  <si>
    <t>Nursery 1: Starlings  —  PAYMENT RECEIPTS LOG  (Term 3, 2025/26: 21 Apr – 24 Jul 2026)</t>
  </si>
  <si>
    <t>Obeng N.O.K.A. Jayden</t>
  </si>
  <si>
    <t>Sangber-Dery N. Peter-Claver</t>
  </si>
  <si>
    <t>Nursery 2: Goldfinches  —  Creativity | Beauty  |  Annual: GHS 9,400  |  Termly: GHS 2,400</t>
  </si>
  <si>
    <t>Agyemang Nunana Khloe</t>
  </si>
  <si>
    <t>Staff child — fees fully covered</t>
  </si>
  <si>
    <t>Alhassan Bubune Y.A.B.A Faith Kaylan</t>
  </si>
  <si>
    <t>Ansah-Darko Chris-David</t>
  </si>
  <si>
    <t>Campbell Fathia Elinam</t>
  </si>
  <si>
    <t>Waiver</t>
  </si>
  <si>
    <t>Waiver — parent's condition; GHS 1,400 waived T2</t>
  </si>
  <si>
    <t>Diko Eliana Amponsah</t>
  </si>
  <si>
    <t>Obenewaa Ariel</t>
  </si>
  <si>
    <t>Oussainu Kassim</t>
  </si>
  <si>
    <t>Munkaila Tasmiyah</t>
  </si>
  <si>
    <t>T1 arrears GHS 900 cleared in T2</t>
  </si>
  <si>
    <t>Mubarik Jamil</t>
  </si>
  <si>
    <t>Sangber-Dery Jayden Mwinviel</t>
  </si>
  <si>
    <t>Bekoe Nana Yaa</t>
  </si>
  <si>
    <t>Sibling — joined mid-year; higher fee includes catch-up</t>
  </si>
  <si>
    <t>New enrolment — T2 arrears GHS 550 outstanding</t>
  </si>
  <si>
    <t>Nursery 2: Goldfinches  —  PAYMENT RECEIPTS LOG  (Term 3, 2025/26: 21 Apr – 24 Jul 2026)</t>
  </si>
  <si>
    <t>Alhassan B. Faith Kaylan</t>
  </si>
  <si>
    <t>Sangber-Dery Jayden M.</t>
  </si>
  <si>
    <t>KG 1: Kingfishers  —  Precision | Focus  |  Annual: GHS 7,350  |  Termly: GHS 2,550</t>
  </si>
  <si>
    <t>TERM 3 (ACTIVE — arrears from T1/T2 included)</t>
  </si>
  <si>
    <t>Adjei-Djeton Jahmiel</t>
  </si>
  <si>
    <t>Agyapong A. Akyedie Emmalyn-Rosemond</t>
  </si>
  <si>
    <t>Ansah-Darko Carissa Elyon</t>
  </si>
  <si>
    <t>Sibling — T2 balance GHS 872.50</t>
  </si>
  <si>
    <t>T1 partial; T2 balance GHS 350</t>
  </si>
  <si>
    <t>Asare Tony Papa Kwesi</t>
  </si>
  <si>
    <t>T1 partial (GHS 1,550 short); T2 fully settled</t>
  </si>
  <si>
    <t>Prior year BF GHS 3,110; growing arrears — GHS 4,210 T2 balance</t>
  </si>
  <si>
    <t>Bakari Lilian Jamima</t>
  </si>
  <si>
    <t>Boafo Ivanna Asabea</t>
  </si>
  <si>
    <t>Prior year BF GHS 1,450; reduced to GHS 500 by T2 end</t>
  </si>
  <si>
    <t>Kanati Jed Elikem</t>
  </si>
  <si>
    <t>Monney Obrempong Nyamedo</t>
  </si>
  <si>
    <t>Rufai Kiara Nhyira</t>
  </si>
  <si>
    <t>KG 1: Kingfishers  —  PAYMENT RECEIPTS LOG  (Term 3, 2025/26: 21 Apr – 24 Jul 2026)</t>
  </si>
  <si>
    <t>Agyapong A.A.E. Rosemond</t>
  </si>
  <si>
    <t>KG 2: Hawks  —  Vision | Focus  |  Annual: GHS 7,350  |  Termly: GHS 2,550</t>
  </si>
  <si>
    <t>Sibling — never paid T1; T2 balance GHS 922.50; chronic defaulter</t>
  </si>
  <si>
    <t>Higher fee level; T2 balance GHS 130</t>
  </si>
  <si>
    <t>Oppong Ama Aseda</t>
  </si>
  <si>
    <t>KG 2: Hawks  —  PAYMENT RECEIPTS LOG  (Term 3, 2025/26: 21 Apr – 24 Jul 2026)</t>
  </si>
  <si>
    <t>Grade 1: Skylarks  —  Joy | Freedom  |  Annual: GHS 8,500  |  Termly: GHS 3,000</t>
  </si>
  <si>
    <t>Abomabiik Janelle Adepa</t>
  </si>
  <si>
    <t>Anaman Sam Darkoh</t>
  </si>
  <si>
    <t>T1 partial; no T2 fee charged — GHS 1,200 arrears persisting</t>
  </si>
  <si>
    <t>Campbell Jaheem Coffie</t>
  </si>
  <si>
    <t>Waiver — parent's condition; GHS 2,000 waived T2</t>
  </si>
  <si>
    <t>Djaba Emily</t>
  </si>
  <si>
    <t>Sibling discount</t>
  </si>
  <si>
    <t>Gyesi-Dodd Nkunim Kwesi</t>
  </si>
  <si>
    <t>Sibling — joined mid-year; T2 balance GHS 377.50</t>
  </si>
  <si>
    <t>Sibling — consistent partial payer; T2 balance GHS 850</t>
  </si>
  <si>
    <t>Tsikata Sejanam Kokui</t>
  </si>
  <si>
    <t>Bekoe Calvin Darko</t>
  </si>
  <si>
    <t>Joined mid-year; higher fee includes catch-up</t>
  </si>
  <si>
    <t>Grade 1: Skylarks  —  PAYMENT RECEIPTS LOG  (Term 3, 2025/26: 21 Apr – 24 Jul 2026)</t>
  </si>
  <si>
    <t>Mensah-Aborampah A.E. Owuraku</t>
  </si>
  <si>
    <t>Grade 2: Kestrels  —  Vigilance | Determine  |  Annual: GHS 8,500  |  Termly: GHS 3,000</t>
  </si>
  <si>
    <t>Afful Ewura-Yaa Nkunim</t>
  </si>
  <si>
    <t>Antwi Brion</t>
  </si>
  <si>
    <t>Growing arrears — T2 balance GHS 1,350</t>
  </si>
  <si>
    <t>Kanati Jesse Nuna</t>
  </si>
  <si>
    <t>Never paid T1 or T2 — chronic defaulter; T2 balance GHS 2,122.50</t>
  </si>
  <si>
    <t>Mortty Gaius Eyiram</t>
  </si>
  <si>
    <t>T1 partial; no T2 fee charged — GHS 400 arrears</t>
  </si>
  <si>
    <t>Tsikata Eli-Vava Sebastian</t>
  </si>
  <si>
    <t>Grade 2: Kestrels  —  PAYMENT RECEIPTS LOG  (Term 3, 2025/26: 21 Apr – 24 Jul 2026)</t>
  </si>
  <si>
    <t>Grade 3: Woodpeckers  —  Skilful | Adaptability  |  Annual: GHS 8,500  |  Termly: GHS 3,000</t>
  </si>
  <si>
    <t>Adjei-Djeton Jayden</t>
  </si>
  <si>
    <t>Akrofi-Quarcoo Jesse Papa Kwesi</t>
  </si>
  <si>
    <t>Prior year BF GHS 1,650; no fees charged T1/T2 — arrears only</t>
  </si>
  <si>
    <t>T1 paid GHS 700 of 3,500; zero T2 payment — GHS 4,300 arrears</t>
  </si>
  <si>
    <t>Consistent partial payer; T2 balance GHS 1,100</t>
  </si>
  <si>
    <t>Sibling — prior year BF GHS 3,140; T2 balance GHS 2,270</t>
  </si>
  <si>
    <t>Grade 3: Woodpeckers  —  PAYMENT RECEIPTS LOG  (Term 3, 2025/26: 21 Apr – 24 Jul 2026)</t>
  </si>
  <si>
    <t>Akrofi-Quarcoo Jesse P.K.</t>
  </si>
  <si>
    <t>Mensah-Aborampah Ayeyi Y.</t>
  </si>
  <si>
    <t>Grade 4: Nightingales  —  Talented | Exceptional  |  Annual: GHS 8,500  |  Termly: GHS 3,000</t>
  </si>
  <si>
    <t>Djaba Larko Rhema</t>
  </si>
  <si>
    <t>Sibling discount — T1 partial; T2 settled</t>
  </si>
  <si>
    <t>Mortty Elikem Galen</t>
  </si>
  <si>
    <t>Monney Nana Aba Nyamekye</t>
  </si>
  <si>
    <t>Prior year BF GHS 3,050; no T2 fee charged — GHS 2,420 arrears</t>
  </si>
  <si>
    <t>Grade 4: Nightingales  —  PAYMENT RECEIPTS LOG  (Term 3, 2025/26: 21 Apr – 24 Jul 2026)</t>
  </si>
  <si>
    <t>Grade 5: Falcons  —  Speed | Agility  |  Annual: GHS 8,500  |  Termly: GHS 3,000</t>
  </si>
  <si>
    <t>Akrofi-Quarcoo Ethan Siisi Jeremy</t>
  </si>
  <si>
    <t>Djaba Nana Kwame Lartey Leroy</t>
  </si>
  <si>
    <t>Harmony Owusu</t>
  </si>
  <si>
    <t>Staff child — T1 partial (GHS 500 of 1,500); T2 settled incl. arrears</t>
  </si>
  <si>
    <t>Grade 5: Falcons  —  PAYMENT RECEIPTS LOG  (Term 3, 2025/26: 21 Apr – 24 Jul 2026)</t>
  </si>
  <si>
    <t>Akrofi-Quarcoo Ethan S.J.</t>
  </si>
  <si>
    <t>Djaba Nana Kwame Lartey L.</t>
  </si>
  <si>
    <t>Term 2 Arrears</t>
  </si>
  <si>
    <t>Dorcas Matilda Akosua Kusi</t>
  </si>
  <si>
    <t>MTN MoMo</t>
  </si>
  <si>
    <t>Benneh Laura</t>
  </si>
  <si>
    <t>Serwaa Senam Appiah</t>
  </si>
  <si>
    <t>Adelia Alhassan</t>
  </si>
  <si>
    <t>Term 3</t>
  </si>
  <si>
    <t>Other</t>
  </si>
  <si>
    <t>Arthur Janice Ayeyi</t>
  </si>
  <si>
    <t>Precious Dogbatsey</t>
  </si>
  <si>
    <t>Jed Elikem Kanati</t>
  </si>
  <si>
    <t>Vacation</t>
  </si>
  <si>
    <t>20/24/2026</t>
  </si>
  <si>
    <t>Adugbire Mbo Ibiza</t>
  </si>
  <si>
    <t>Benneh Gregoria</t>
  </si>
  <si>
    <t>Lilian Jamima Bakari</t>
  </si>
  <si>
    <t>MTN MoMo / Cash</t>
  </si>
  <si>
    <t>Carissa Ansah-Darko</t>
  </si>
  <si>
    <t>Gregoria Benneh</t>
  </si>
  <si>
    <t>Laura Benneh</t>
  </si>
  <si>
    <t>Term 1 Arrears</t>
  </si>
  <si>
    <t>March</t>
  </si>
  <si>
    <t>Alhassan Adelia</t>
  </si>
  <si>
    <t>25/05/2026</t>
  </si>
  <si>
    <t>Nera Jasmine Owusu Mensah</t>
  </si>
  <si>
    <t>06/07/206</t>
  </si>
  <si>
    <t>Appiah Senam Serwaa</t>
  </si>
  <si>
    <t>13/07/2026</t>
  </si>
  <si>
    <t>Jomari Paakolw Ayeh-Kumi</t>
  </si>
  <si>
    <t xml:space="preserve">Name </t>
  </si>
  <si>
    <t>Amount</t>
  </si>
  <si>
    <t>14/07/2026</t>
  </si>
  <si>
    <t>Leroy Djaba</t>
  </si>
  <si>
    <t>Rhema Djaba</t>
  </si>
  <si>
    <t>Ayeyi Mensah-Aborampah</t>
  </si>
  <si>
    <t>Emmanuella Okyem Owusu</t>
  </si>
  <si>
    <t>Nana Kwame Owusu</t>
  </si>
  <si>
    <t>Jayden-Elyon Azasoo</t>
  </si>
  <si>
    <t>Michelle Morkeh</t>
  </si>
  <si>
    <t>Ewura-Yaa Nkunim Afful</t>
  </si>
  <si>
    <t>Serapis Appiah</t>
  </si>
  <si>
    <t>Asa Mensah-Aborampah</t>
  </si>
  <si>
    <t>KG</t>
  </si>
  <si>
    <t>Nana Ama Asare</t>
  </si>
  <si>
    <t>Jomari Paakow Ayeh-Kumi</t>
  </si>
  <si>
    <t>Asher Kukuwa Darko</t>
  </si>
  <si>
    <t>Bradley Morkeh</t>
  </si>
  <si>
    <t>Nursery</t>
  </si>
  <si>
    <t>Christine Senam Eno  Appiah</t>
  </si>
  <si>
    <t>Jody Ayeh-Kumi</t>
  </si>
  <si>
    <t>Henry Tagoe</t>
  </si>
  <si>
    <t>Bismark Okine</t>
  </si>
  <si>
    <t>Emily Jaba</t>
  </si>
  <si>
    <t>27/04/2026</t>
  </si>
  <si>
    <t>Calvin Bekoe</t>
  </si>
  <si>
    <t>Faith Bubune Kaylan</t>
  </si>
  <si>
    <t>Wren Okatakyie Boakye</t>
  </si>
  <si>
    <t>Ibiza Adubgire</t>
  </si>
  <si>
    <t>Creche</t>
  </si>
  <si>
    <t>15/07/2026</t>
  </si>
  <si>
    <t>23/07/206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</si>
</sst>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0" x14ac:knownFonts="1">
    <font>
      <sz val="11"/>
      <color theme="1"/>
      <name val="Calibri"/>
      <family val="2"/>
      <charset val="1"/>
    </font>
    <font>
      <b/>
      <sz val="16"/>
      <color rgb="FFB11226"/>
      <name val="Arial"/>
      <family val="2"/>
    </font>
    <font>
      <i/>
      <sz val="10"/>
      <color rgb="FF5455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2"/>
      <color rgb="FFB11226"/>
      <name val="Arial"/>
      <family val="2"/>
    </font>
    <font>
      <b/>
      <sz val="10"/>
      <name val="Arial"/>
      <family val="2"/>
    </font>
    <font>
      <b/>
      <sz val="10"/>
      <color rgb="FFB11226"/>
      <name val="Arial"/>
      <family val="2"/>
    </font>
    <font>
      <sz val="10"/>
      <color rgb="FF545559"/>
      <name val="Arial"/>
      <family val="2"/>
    </font>
    <font>
      <b/>
      <sz val="14"/>
      <color rgb="FFB11226"/>
      <name val="Arial"/>
      <family val="2"/>
    </font>
    <font>
      <b/>
      <sz val="9"/>
      <color rgb="FFFFFFFF"/>
      <name val="Arial"/>
      <family val="2"/>
    </font>
    <font>
      <b/>
      <sz val="13"/>
      <color rgb="FFB11226"/>
      <name val="Arial"/>
      <family val="2"/>
    </font>
    <font>
      <i/>
      <sz val="9"/>
      <color rgb="FF545559"/>
      <name val="Arial"/>
      <family val="2"/>
    </font>
    <font>
      <b/>
      <sz val="11"/>
      <color rgb="FFB11226"/>
      <name val="Arial"/>
      <family val="2"/>
    </font>
    <font>
      <b/>
      <i/>
      <sz val="9"/>
      <color rgb="FFB11226"/>
      <name val="Arial"/>
      <family val="2"/>
    </font>
    <font>
      <b/>
      <sz val="12"/>
      <color rgb="FFE87511"/>
      <name val="Arial"/>
      <family val="2"/>
    </font>
    <font>
      <b/>
      <sz val="10"/>
      <color rgb="FF545559"/>
      <name val="Arial"/>
      <family val="2"/>
    </font>
    <font>
      <b/>
      <sz val="9"/>
      <name val="Arial"/>
      <family val="2"/>
    </font>
    <font>
      <b/>
      <sz val="12"/>
      <color rgb="FF2B6CA3"/>
      <name val="Arial"/>
      <family val="2"/>
    </font>
    <font>
      <b/>
      <sz val="12"/>
      <color rgb="FFD4A017"/>
      <name val="Arial"/>
      <family val="2"/>
    </font>
    <font>
      <b/>
      <sz val="10"/>
      <color rgb="FFE87511"/>
      <name val="Arial"/>
      <family val="2"/>
    </font>
    <font>
      <b/>
      <sz val="8"/>
      <color rgb="FFB11226"/>
      <name val="Arial"/>
      <family val="2"/>
    </font>
    <font>
      <b/>
      <sz val="12"/>
      <color rgb="FF2D4A2D"/>
      <name val="Arial"/>
      <family val="2"/>
    </font>
    <font>
      <b/>
      <sz val="10"/>
      <color rgb="FF2D4A2D"/>
      <name val="Arial"/>
      <family val="2"/>
    </font>
    <font>
      <b/>
      <sz val="10"/>
      <color rgb="FFD4A017"/>
      <name val="Arial"/>
      <family val="2"/>
    </font>
    <font>
      <b/>
      <sz val="12"/>
      <color rgb="FF007272"/>
      <name val="Arial"/>
      <family val="2"/>
    </font>
    <font>
      <b/>
      <sz val="10"/>
      <color rgb="FF007272"/>
      <name val="Arial"/>
      <family val="2"/>
    </font>
    <font>
      <b/>
      <sz val="12"/>
      <color rgb="FF5B8FA8"/>
      <name val="Arial"/>
      <family val="2"/>
    </font>
    <font>
      <b/>
      <sz val="10"/>
      <color rgb="FF5B8FA8"/>
      <name val="Arial"/>
      <family val="2"/>
    </font>
    <font>
      <b/>
      <sz val="12"/>
      <color rgb="FF7A6928"/>
      <name val="Arial"/>
      <family val="2"/>
    </font>
    <font>
      <b/>
      <sz val="10"/>
      <color rgb="FF7A6928"/>
      <name val="Arial"/>
      <family val="2"/>
    </font>
    <font>
      <b/>
      <sz val="12"/>
      <color rgb="FFA04030"/>
      <name val="Arial"/>
      <family val="2"/>
    </font>
    <font>
      <b/>
      <sz val="10"/>
      <color rgb="FFA04030"/>
      <name val="Arial"/>
      <family val="2"/>
    </font>
    <font>
      <b/>
      <sz val="12"/>
      <color rgb="FF4A6A6A"/>
      <name val="Arial"/>
      <family val="2"/>
    </font>
    <font>
      <b/>
      <sz val="10"/>
      <color rgb="FF4A6A6A"/>
      <name val="Arial"/>
      <family val="2"/>
    </font>
    <font>
      <b/>
      <sz val="12"/>
      <color rgb="FF6B3A20"/>
      <name val="Arial"/>
      <family val="2"/>
    </font>
    <font>
      <b/>
      <sz val="10"/>
      <color rgb="FF6B3A20"/>
      <name val="Arial"/>
      <family val="2"/>
    </font>
    <font>
      <b/>
      <sz val="12"/>
      <color rgb="FF5A6070"/>
      <name val="Arial"/>
      <family val="2"/>
    </font>
    <font>
      <b/>
      <sz val="10"/>
      <color rgb="FF5A6070"/>
      <name val="Arial"/>
      <family val="2"/>
    </font>
    <font>
      <b/>
      <sz val="11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B11226"/>
        <bgColor rgb="FF800000"/>
      </patternFill>
    </fill>
    <fill>
      <patternFill patternType="solid">
        <fgColor rgb="FFE87511"/>
        <bgColor rgb="FFD4A017"/>
      </patternFill>
    </fill>
    <fill>
      <patternFill patternType="solid">
        <fgColor rgb="FF2D4A2D"/>
        <bgColor rgb="FF545559"/>
      </patternFill>
    </fill>
    <fill>
      <patternFill patternType="solid">
        <fgColor rgb="FFD4A017"/>
        <bgColor rgb="FFE87511"/>
      </patternFill>
    </fill>
    <fill>
      <patternFill patternType="solid">
        <fgColor rgb="FF007272"/>
        <bgColor rgb="FF008080"/>
      </patternFill>
    </fill>
    <fill>
      <patternFill patternType="solid">
        <fgColor rgb="FF5B8FA8"/>
        <bgColor rgb="FF969696"/>
      </patternFill>
    </fill>
    <fill>
      <patternFill patternType="solid">
        <fgColor rgb="FF7A6928"/>
        <bgColor rgb="FF5A6070"/>
      </patternFill>
    </fill>
    <fill>
      <patternFill patternType="solid">
        <fgColor rgb="FFA04030"/>
        <bgColor rgb="FF993366"/>
      </patternFill>
    </fill>
    <fill>
      <patternFill patternType="solid">
        <fgColor rgb="FF4A6A6A"/>
        <bgColor rgb="FF5A6070"/>
      </patternFill>
    </fill>
    <fill>
      <patternFill patternType="solid">
        <fgColor rgb="FF6B3A20"/>
        <bgColor rgb="FFA04030"/>
      </patternFill>
    </fill>
    <fill>
      <patternFill patternType="solid">
        <fgColor rgb="FF5A6070"/>
        <bgColor rgb="FF4A6A6A"/>
      </patternFill>
    </fill>
    <fill>
      <patternFill patternType="solid">
        <fgColor rgb="FF545559"/>
        <bgColor rgb="FF5A6070"/>
      </patternFill>
    </fill>
    <fill>
      <patternFill patternType="solid">
        <fgColor rgb="FF2B6CA3"/>
        <bgColor rgb="FF4A6A6A"/>
      </patternFill>
    </fill>
    <fill>
      <patternFill patternType="solid">
        <fgColor rgb="FF2D7A2D"/>
        <bgColor rgb="FF4A6A6A"/>
      </patternFill>
    </fill>
    <fill>
      <patternFill patternType="solid">
        <fgColor rgb="FFFDE8E8"/>
        <bgColor rgb="FFFFF3E0"/>
      </patternFill>
    </fill>
    <fill>
      <patternFill patternType="solid">
        <fgColor rgb="FFFFF3E0"/>
        <bgColor rgb="FFFDE8E8"/>
      </patternFill>
    </fill>
    <fill>
      <patternFill patternType="solid">
        <fgColor rgb="FFF0F0F0"/>
        <bgColor rgb="FFFDE8E8"/>
      </patternFill>
    </fill>
    <fill>
      <patternFill patternType="solid">
        <fgColor rgb="FFCFCBCA"/>
        <bgColor rgb="FFCCCCFF"/>
      </patternFill>
    </fill>
    <fill>
      <patternFill patternType="solid">
        <fgColor rgb="FFFFFFFF"/>
        <bgColor rgb="FFFFF3E0"/>
      </patternFill>
    </fill>
    <fill>
      <patternFill patternType="solid">
        <fgColor theme="0" tint="-0.14999847407452621"/>
        <bgColor rgb="FFFFF3E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8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0" xfId="0" applyFont="1"/>
    <xf numFmtId="0" fontId="4" fillId="0" borderId="1" xfId="0" applyFont="1" applyBorder="1"/>
    <xf numFmtId="164" fontId="4" fillId="0" borderId="1" xfId="0" applyNumberFormat="1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/>
    <xf numFmtId="4" fontId="6" fillId="0" borderId="1" xfId="0" applyNumberFormat="1" applyFont="1" applyBorder="1"/>
    <xf numFmtId="164" fontId="6" fillId="0" borderId="1" xfId="0" applyNumberFormat="1" applyFont="1" applyBorder="1"/>
    <xf numFmtId="0" fontId="4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left" vertical="center" wrapText="1"/>
    </xf>
    <xf numFmtId="4" fontId="4" fillId="16" borderId="1" xfId="0" applyNumberFormat="1" applyFont="1" applyFill="1" applyBorder="1" applyAlignment="1">
      <alignment horizontal="center" vertical="center" wrapText="1"/>
    </xf>
    <xf numFmtId="4" fontId="7" fillId="16" borderId="1" xfId="0" applyNumberFormat="1" applyFont="1" applyFill="1" applyBorder="1" applyAlignment="1">
      <alignment horizontal="center" vertical="center" wrapText="1"/>
    </xf>
    <xf numFmtId="4" fontId="13" fillId="16" borderId="1" xfId="0" applyNumberFormat="1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4" fontId="4" fillId="17" borderId="1" xfId="0" applyNumberFormat="1" applyFont="1" applyFill="1" applyBorder="1" applyAlignment="1">
      <alignment horizontal="center" vertical="center" wrapText="1"/>
    </xf>
    <xf numFmtId="4" fontId="7" fillId="17" borderId="1" xfId="0" applyNumberFormat="1" applyFont="1" applyFill="1" applyBorder="1" applyAlignment="1">
      <alignment horizontal="center" vertical="center" wrapText="1"/>
    </xf>
    <xf numFmtId="4" fontId="13" fillId="17" borderId="1" xfId="0" applyNumberFormat="1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left" vertical="center" wrapText="1"/>
    </xf>
    <xf numFmtId="0" fontId="14" fillId="17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4" fontId="4" fillId="18" borderId="1" xfId="0" applyNumberFormat="1" applyFont="1" applyFill="1" applyBorder="1" applyAlignment="1">
      <alignment horizontal="center" vertical="center" wrapText="1"/>
    </xf>
    <xf numFmtId="4" fontId="7" fillId="18" borderId="1" xfId="0" applyNumberFormat="1" applyFont="1" applyFill="1" applyBorder="1" applyAlignment="1">
      <alignment horizontal="center" vertical="center" wrapText="1"/>
    </xf>
    <xf numFmtId="4" fontId="13" fillId="18" borderId="1" xfId="0" applyNumberFormat="1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left" vertical="center" wrapText="1"/>
    </xf>
    <xf numFmtId="0" fontId="13" fillId="0" borderId="1" xfId="0" applyFont="1" applyBorder="1"/>
    <xf numFmtId="4" fontId="13" fillId="0" borderId="1" xfId="0" applyNumberFormat="1" applyFont="1" applyBorder="1"/>
    <xf numFmtId="4" fontId="5" fillId="0" borderId="1" xfId="0" applyNumberFormat="1" applyFont="1" applyBorder="1"/>
    <xf numFmtId="0" fontId="2" fillId="0" borderId="0" xfId="0" applyFont="1"/>
    <xf numFmtId="0" fontId="7" fillId="0" borderId="0" xfId="0" applyFont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left" vertical="center" wrapText="1"/>
    </xf>
    <xf numFmtId="4" fontId="4" fillId="19" borderId="1" xfId="0" applyNumberFormat="1" applyFont="1" applyFill="1" applyBorder="1" applyAlignment="1">
      <alignment horizontal="center" vertical="center" wrapText="1"/>
    </xf>
    <xf numFmtId="4" fontId="7" fillId="19" borderId="1" xfId="0" applyNumberFormat="1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left" vertical="center" wrapText="1"/>
    </xf>
    <xf numFmtId="4" fontId="4" fillId="20" borderId="1" xfId="0" applyNumberFormat="1" applyFont="1" applyFill="1" applyBorder="1" applyAlignment="1">
      <alignment horizontal="center" vertical="center" wrapText="1"/>
    </xf>
    <xf numFmtId="4" fontId="7" fillId="20" borderId="1" xfId="0" applyNumberFormat="1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left" vertical="center" wrapText="1"/>
    </xf>
    <xf numFmtId="0" fontId="16" fillId="0" borderId="0" xfId="0" applyFont="1"/>
    <xf numFmtId="0" fontId="17" fillId="0" borderId="0" xfId="0" applyFont="1"/>
    <xf numFmtId="164" fontId="18" fillId="0" borderId="0" xfId="0" applyNumberFormat="1" applyFont="1"/>
    <xf numFmtId="164" fontId="19" fillId="0" borderId="0" xfId="0" applyNumberFormat="1" applyFont="1"/>
    <xf numFmtId="4" fontId="0" fillId="0" borderId="0" xfId="0" applyNumberFormat="1"/>
    <xf numFmtId="14" fontId="4" fillId="19" borderId="1" xfId="0" applyNumberFormat="1" applyFont="1" applyFill="1" applyBorder="1" applyAlignment="1">
      <alignment horizontal="center" vertical="center" wrapText="1"/>
    </xf>
    <xf numFmtId="4" fontId="20" fillId="19" borderId="1" xfId="0" applyNumberFormat="1" applyFont="1" applyFill="1" applyBorder="1" applyAlignment="1">
      <alignment horizontal="center" vertical="center" wrapText="1"/>
    </xf>
    <xf numFmtId="14" fontId="4" fillId="20" borderId="1" xfId="0" applyNumberFormat="1" applyFont="1" applyFill="1" applyBorder="1" applyAlignment="1">
      <alignment horizontal="center" vertical="center" wrapText="1"/>
    </xf>
    <xf numFmtId="4" fontId="20" fillId="20" borderId="1" xfId="0" applyNumberFormat="1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 wrapText="1"/>
    </xf>
    <xf numFmtId="1" fontId="4" fillId="19" borderId="1" xfId="0" applyNumberFormat="1" applyFont="1" applyFill="1" applyBorder="1" applyAlignment="1">
      <alignment horizontal="center" vertical="center" wrapText="1"/>
    </xf>
    <xf numFmtId="4" fontId="0" fillId="19" borderId="1" xfId="0" applyNumberFormat="1" applyFill="1" applyBorder="1" applyAlignment="1">
      <alignment horizontal="center" vertical="center" wrapText="1"/>
    </xf>
    <xf numFmtId="4" fontId="6" fillId="19" borderId="1" xfId="0" applyNumberFormat="1" applyFont="1" applyFill="1" applyBorder="1" applyAlignment="1">
      <alignment horizontal="center" vertical="center" wrapText="1"/>
    </xf>
    <xf numFmtId="1" fontId="0" fillId="19" borderId="1" xfId="0" applyNumberFormat="1" applyFill="1" applyBorder="1" applyAlignment="1">
      <alignment horizontal="left" vertical="center" wrapText="1"/>
    </xf>
    <xf numFmtId="0" fontId="17" fillId="20" borderId="1" xfId="0" applyFont="1" applyFill="1" applyBorder="1" applyAlignment="1">
      <alignment horizontal="center" vertical="center" wrapText="1"/>
    </xf>
    <xf numFmtId="1" fontId="4" fillId="20" borderId="1" xfId="0" applyNumberFormat="1" applyFont="1" applyFill="1" applyBorder="1" applyAlignment="1">
      <alignment horizontal="center" vertical="center" wrapText="1"/>
    </xf>
    <xf numFmtId="4" fontId="0" fillId="20" borderId="1" xfId="0" applyNumberFormat="1" applyFill="1" applyBorder="1" applyAlignment="1">
      <alignment horizontal="center" vertical="center" wrapText="1"/>
    </xf>
    <xf numFmtId="4" fontId="6" fillId="20" borderId="1" xfId="0" applyNumberFormat="1" applyFont="1" applyFill="1" applyBorder="1" applyAlignment="1">
      <alignment horizontal="center" vertical="center" wrapText="1"/>
    </xf>
    <xf numFmtId="1" fontId="0" fillId="20" borderId="1" xfId="0" applyNumberFormat="1" applyFill="1" applyBorder="1" applyAlignment="1">
      <alignment horizontal="left" vertical="center" wrapText="1"/>
    </xf>
    <xf numFmtId="1" fontId="21" fillId="20" borderId="1" xfId="0" applyNumberFormat="1" applyFont="1" applyFill="1" applyBorder="1" applyAlignment="1">
      <alignment horizontal="center" vertical="center" wrapText="1"/>
    </xf>
    <xf numFmtId="1" fontId="21" fillId="19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/>
    <xf numFmtId="0" fontId="6" fillId="19" borderId="1" xfId="0" applyFont="1" applyFill="1" applyBorder="1" applyAlignment="1">
      <alignment horizontal="center" vertical="center" wrapText="1"/>
    </xf>
    <xf numFmtId="1" fontId="0" fillId="19" borderId="1" xfId="0" applyNumberFormat="1" applyFill="1" applyBorder="1" applyAlignment="1">
      <alignment horizontal="center" vertical="center" wrapText="1"/>
    </xf>
    <xf numFmtId="9" fontId="0" fillId="19" borderId="1" xfId="0" applyNumberFormat="1" applyFill="1" applyBorder="1" applyAlignment="1">
      <alignment horizontal="center" vertical="center" wrapText="1"/>
    </xf>
    <xf numFmtId="4" fontId="0" fillId="19" borderId="1" xfId="0" applyNumberFormat="1" applyFill="1" applyBorder="1" applyAlignment="1">
      <alignment horizontal="left" vertical="center" wrapText="1"/>
    </xf>
    <xf numFmtId="0" fontId="6" fillId="20" borderId="1" xfId="0" applyFont="1" applyFill="1" applyBorder="1" applyAlignment="1">
      <alignment horizontal="center" vertical="center" wrapText="1"/>
    </xf>
    <xf numFmtId="1" fontId="0" fillId="20" borderId="1" xfId="0" applyNumberFormat="1" applyFill="1" applyBorder="1" applyAlignment="1">
      <alignment horizontal="center" vertical="center" wrapText="1"/>
    </xf>
    <xf numFmtId="9" fontId="0" fillId="20" borderId="1" xfId="0" applyNumberFormat="1" applyFill="1" applyBorder="1" applyAlignment="1">
      <alignment horizontal="center" vertical="center" wrapText="1"/>
    </xf>
    <xf numFmtId="4" fontId="0" fillId="20" borderId="1" xfId="0" applyNumberFormat="1" applyFill="1" applyBorder="1" applyAlignment="1">
      <alignment horizontal="left" vertical="center" wrapText="1"/>
    </xf>
    <xf numFmtId="4" fontId="23" fillId="19" borderId="1" xfId="0" applyNumberFormat="1" applyFont="1" applyFill="1" applyBorder="1" applyAlignment="1">
      <alignment horizontal="center" vertical="center" wrapText="1"/>
    </xf>
    <xf numFmtId="4" fontId="23" fillId="20" borderId="1" xfId="0" applyNumberFormat="1" applyFont="1" applyFill="1" applyBorder="1" applyAlignment="1">
      <alignment horizontal="center" vertical="center" wrapText="1"/>
    </xf>
    <xf numFmtId="4" fontId="24" fillId="19" borderId="1" xfId="0" applyNumberFormat="1" applyFont="1" applyFill="1" applyBorder="1" applyAlignment="1">
      <alignment horizontal="center" vertical="center" wrapText="1"/>
    </xf>
    <xf numFmtId="4" fontId="24" fillId="20" borderId="1" xfId="0" applyNumberFormat="1" applyFont="1" applyFill="1" applyBorder="1" applyAlignment="1">
      <alignment horizontal="center" vertical="center" wrapText="1"/>
    </xf>
    <xf numFmtId="4" fontId="26" fillId="19" borderId="1" xfId="0" applyNumberFormat="1" applyFont="1" applyFill="1" applyBorder="1" applyAlignment="1">
      <alignment horizontal="center" vertical="center" wrapText="1"/>
    </xf>
    <xf numFmtId="4" fontId="26" fillId="20" borderId="1" xfId="0" applyNumberFormat="1" applyFont="1" applyFill="1" applyBorder="1" applyAlignment="1">
      <alignment horizontal="center" vertical="center" wrapText="1"/>
    </xf>
    <xf numFmtId="4" fontId="28" fillId="19" borderId="1" xfId="0" applyNumberFormat="1" applyFont="1" applyFill="1" applyBorder="1" applyAlignment="1">
      <alignment horizontal="center" vertical="center" wrapText="1"/>
    </xf>
    <xf numFmtId="4" fontId="28" fillId="20" borderId="1" xfId="0" applyNumberFormat="1" applyFont="1" applyFill="1" applyBorder="1" applyAlignment="1">
      <alignment horizontal="center" vertical="center" wrapText="1"/>
    </xf>
    <xf numFmtId="4" fontId="30" fillId="19" borderId="1" xfId="0" applyNumberFormat="1" applyFont="1" applyFill="1" applyBorder="1" applyAlignment="1">
      <alignment horizontal="center" vertical="center" wrapText="1"/>
    </xf>
    <xf numFmtId="4" fontId="30" fillId="20" borderId="1" xfId="0" applyNumberFormat="1" applyFont="1" applyFill="1" applyBorder="1" applyAlignment="1">
      <alignment horizontal="center" vertical="center" wrapText="1"/>
    </xf>
    <xf numFmtId="4" fontId="32" fillId="19" borderId="1" xfId="0" applyNumberFormat="1" applyFont="1" applyFill="1" applyBorder="1" applyAlignment="1">
      <alignment horizontal="center" vertical="center" wrapText="1"/>
    </xf>
    <xf numFmtId="4" fontId="32" fillId="20" borderId="1" xfId="0" applyNumberFormat="1" applyFont="1" applyFill="1" applyBorder="1" applyAlignment="1">
      <alignment horizontal="center" vertical="center" wrapText="1"/>
    </xf>
    <xf numFmtId="4" fontId="34" fillId="19" borderId="1" xfId="0" applyNumberFormat="1" applyFont="1" applyFill="1" applyBorder="1" applyAlignment="1">
      <alignment horizontal="center" vertical="center" wrapText="1"/>
    </xf>
    <xf numFmtId="4" fontId="34" fillId="20" borderId="1" xfId="0" applyNumberFormat="1" applyFont="1" applyFill="1" applyBorder="1" applyAlignment="1">
      <alignment horizontal="center" vertical="center" wrapText="1"/>
    </xf>
    <xf numFmtId="4" fontId="36" fillId="19" borderId="1" xfId="0" applyNumberFormat="1" applyFont="1" applyFill="1" applyBorder="1" applyAlignment="1">
      <alignment horizontal="center" vertical="center" wrapText="1"/>
    </xf>
    <xf numFmtId="4" fontId="36" fillId="20" borderId="1" xfId="0" applyNumberFormat="1" applyFont="1" applyFill="1" applyBorder="1" applyAlignment="1">
      <alignment horizontal="center" vertical="center" wrapText="1"/>
    </xf>
    <xf numFmtId="4" fontId="38" fillId="19" borderId="1" xfId="0" applyNumberFormat="1" applyFont="1" applyFill="1" applyBorder="1" applyAlignment="1">
      <alignment horizontal="center" vertical="center" wrapText="1"/>
    </xf>
    <xf numFmtId="4" fontId="38" fillId="20" borderId="1" xfId="0" applyNumberFormat="1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left" vertical="center" wrapText="1"/>
    </xf>
    <xf numFmtId="0" fontId="4" fillId="20" borderId="2" xfId="0" applyFont="1" applyFill="1" applyBorder="1" applyAlignment="1">
      <alignment horizontal="left" vertical="center" wrapText="1"/>
    </xf>
    <xf numFmtId="3" fontId="0" fillId="0" borderId="0" xfId="0" applyNumberFormat="1"/>
    <xf numFmtId="0" fontId="39" fillId="0" borderId="0" xfId="0" applyFont="1"/>
    <xf numFmtId="0" fontId="22" fillId="0" borderId="0" xfId="0" applyFont="1" applyAlignment="1">
      <alignment horizontal="left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8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/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11226"/>
      <rgbColor rgb="FF2D7A2D"/>
      <rgbColor rgb="FF000080"/>
      <rgbColor rgb="FF7A6928"/>
      <rgbColor rgb="FF800080"/>
      <rgbColor rgb="FF007272"/>
      <rgbColor rgb="FFCFCBCA"/>
      <rgbColor rgb="FF5B8FA8"/>
      <rgbColor rgb="FF9999FF"/>
      <rgbColor rgb="FF993366"/>
      <rgbColor rgb="FFFFF3E0"/>
      <rgbColor rgb="FFF0F0F0"/>
      <rgbColor rgb="FF660066"/>
      <rgbColor rgb="FFFF8080"/>
      <rgbColor rgb="FF2B6C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017"/>
      <rgbColor rgb="FFE87511"/>
      <rgbColor rgb="FF5A6070"/>
      <rgbColor rgb="FF969696"/>
      <rgbColor rgb="FF003366"/>
      <rgbColor rgb="FF4A6A6A"/>
      <rgbColor rgb="FF003300"/>
      <rgbColor rgb="FF6B3A20"/>
      <rgbColor rgb="FFA04030"/>
      <rgbColor rgb="FF993366"/>
      <rgbColor rgb="FF545559"/>
      <rgbColor rgb="FF2D4A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11226"/>
  </sheetPr>
  <dimension ref="A1:H33"/>
  <sheetViews>
    <sheetView zoomScaleNormal="100" workbookViewId="0">
      <selection sqref="A1:H1"/>
    </sheetView>
  </sheetViews>
  <sheetFormatPr defaultColWidth="8.7109375" defaultRowHeight="15" x14ac:dyDescent="0.25"/>
  <cols>
    <col min="1" max="1" width="22" customWidth="1"/>
    <col min="2" max="2" width="16" customWidth="1"/>
    <col min="3" max="6" width="14" customWidth="1"/>
    <col min="7" max="7" width="8" customWidth="1"/>
    <col min="8" max="8" width="14" customWidth="1"/>
  </cols>
  <sheetData>
    <row r="1" spans="1:8" ht="34.5" customHeight="1" x14ac:dyDescent="0.25">
      <c r="A1" s="125" t="s">
        <v>0</v>
      </c>
      <c r="B1" s="125"/>
      <c r="C1" s="125"/>
      <c r="D1" s="125"/>
      <c r="E1" s="125"/>
      <c r="F1" s="125"/>
      <c r="G1" s="125"/>
      <c r="H1" s="125"/>
    </row>
    <row r="2" spans="1:8" ht="15" customHeight="1" x14ac:dyDescent="0.25">
      <c r="A2" s="126" t="s">
        <v>1</v>
      </c>
      <c r="B2" s="126"/>
      <c r="C2" s="126"/>
      <c r="D2" s="126"/>
      <c r="E2" s="126"/>
      <c r="F2" s="126"/>
      <c r="G2" s="126"/>
      <c r="H2" s="126"/>
    </row>
    <row r="4" spans="1:8" ht="15" customHeight="1" x14ac:dyDescent="0.2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5" customHeight="1" x14ac:dyDescent="0.25">
      <c r="A5" s="9" t="s">
        <v>10</v>
      </c>
      <c r="B5" s="1" t="s">
        <v>11</v>
      </c>
      <c r="C5" s="10">
        <v>10000</v>
      </c>
      <c r="D5" s="10">
        <v>2550</v>
      </c>
      <c r="E5" s="10">
        <v>800</v>
      </c>
      <c r="F5" s="11" t="s">
        <v>12</v>
      </c>
      <c r="G5" s="11">
        <v>52</v>
      </c>
      <c r="H5" s="10">
        <f t="shared" ref="H5:H14" si="0">C5/12</f>
        <v>833.33333333333337</v>
      </c>
    </row>
    <row r="6" spans="1:8" ht="15" customHeight="1" x14ac:dyDescent="0.25">
      <c r="A6" s="9" t="s">
        <v>13</v>
      </c>
      <c r="B6" s="12" t="s">
        <v>14</v>
      </c>
      <c r="C6" s="10">
        <v>9400</v>
      </c>
      <c r="D6" s="10">
        <v>2400</v>
      </c>
      <c r="E6" s="10">
        <v>800</v>
      </c>
      <c r="F6" s="11" t="s">
        <v>12</v>
      </c>
      <c r="G6" s="11">
        <v>52</v>
      </c>
      <c r="H6" s="10">
        <f t="shared" si="0"/>
        <v>783.33333333333337</v>
      </c>
    </row>
    <row r="7" spans="1:8" ht="15" customHeight="1" x14ac:dyDescent="0.25">
      <c r="A7" s="9" t="s">
        <v>15</v>
      </c>
      <c r="B7" s="13" t="s">
        <v>16</v>
      </c>
      <c r="C7" s="10">
        <v>9400</v>
      </c>
      <c r="D7" s="10">
        <v>2400</v>
      </c>
      <c r="E7" s="10">
        <v>800</v>
      </c>
      <c r="F7" s="11" t="s">
        <v>12</v>
      </c>
      <c r="G7" s="11">
        <v>52</v>
      </c>
      <c r="H7" s="10">
        <f t="shared" si="0"/>
        <v>783.33333333333337</v>
      </c>
    </row>
    <row r="8" spans="1:8" ht="15" customHeight="1" x14ac:dyDescent="0.25">
      <c r="A8" s="9" t="s">
        <v>17</v>
      </c>
      <c r="B8" s="14" t="s">
        <v>18</v>
      </c>
      <c r="C8" s="10">
        <v>7350</v>
      </c>
      <c r="D8" s="10">
        <v>2550</v>
      </c>
      <c r="E8" s="10">
        <v>850</v>
      </c>
      <c r="F8" s="11" t="s">
        <v>19</v>
      </c>
      <c r="G8" s="11">
        <v>39</v>
      </c>
      <c r="H8" s="10">
        <f t="shared" si="0"/>
        <v>612.5</v>
      </c>
    </row>
    <row r="9" spans="1:8" ht="15" customHeight="1" x14ac:dyDescent="0.25">
      <c r="A9" s="9" t="s">
        <v>20</v>
      </c>
      <c r="B9" s="15" t="s">
        <v>21</v>
      </c>
      <c r="C9" s="10">
        <v>7350</v>
      </c>
      <c r="D9" s="10">
        <v>2550</v>
      </c>
      <c r="E9" s="10">
        <v>850</v>
      </c>
      <c r="F9" s="11" t="s">
        <v>19</v>
      </c>
      <c r="G9" s="11">
        <v>39</v>
      </c>
      <c r="H9" s="10">
        <f t="shared" si="0"/>
        <v>612.5</v>
      </c>
    </row>
    <row r="10" spans="1:8" ht="15" customHeight="1" x14ac:dyDescent="0.25">
      <c r="A10" s="9" t="s">
        <v>22</v>
      </c>
      <c r="B10" s="16" t="s">
        <v>23</v>
      </c>
      <c r="C10" s="10">
        <v>8500</v>
      </c>
      <c r="D10" s="10">
        <v>3000</v>
      </c>
      <c r="E10" s="10">
        <v>1200</v>
      </c>
      <c r="F10" s="11" t="s">
        <v>19</v>
      </c>
      <c r="G10" s="11">
        <v>39</v>
      </c>
      <c r="H10" s="10">
        <f t="shared" si="0"/>
        <v>708.33333333333337</v>
      </c>
    </row>
    <row r="11" spans="1:8" ht="15" customHeight="1" x14ac:dyDescent="0.25">
      <c r="A11" s="9" t="s">
        <v>24</v>
      </c>
      <c r="B11" s="17" t="s">
        <v>25</v>
      </c>
      <c r="C11" s="10">
        <v>8500</v>
      </c>
      <c r="D11" s="10">
        <v>3000</v>
      </c>
      <c r="E11" s="10">
        <v>1200</v>
      </c>
      <c r="F11" s="11" t="s">
        <v>19</v>
      </c>
      <c r="G11" s="11">
        <v>39</v>
      </c>
      <c r="H11" s="10">
        <f t="shared" si="0"/>
        <v>708.33333333333337</v>
      </c>
    </row>
    <row r="12" spans="1:8" ht="15" customHeight="1" x14ac:dyDescent="0.25">
      <c r="A12" s="9" t="s">
        <v>26</v>
      </c>
      <c r="B12" s="18" t="s">
        <v>27</v>
      </c>
      <c r="C12" s="10">
        <v>8500</v>
      </c>
      <c r="D12" s="10">
        <v>3000</v>
      </c>
      <c r="E12" s="10">
        <v>1300</v>
      </c>
      <c r="F12" s="11" t="s">
        <v>19</v>
      </c>
      <c r="G12" s="11">
        <v>39</v>
      </c>
      <c r="H12" s="10">
        <f t="shared" si="0"/>
        <v>708.33333333333337</v>
      </c>
    </row>
    <row r="13" spans="1:8" ht="15" customHeight="1" x14ac:dyDescent="0.25">
      <c r="A13" s="9" t="s">
        <v>28</v>
      </c>
      <c r="B13" s="19" t="s">
        <v>29</v>
      </c>
      <c r="C13" s="10">
        <v>8500</v>
      </c>
      <c r="D13" s="10">
        <v>3000</v>
      </c>
      <c r="E13" s="10">
        <v>1300</v>
      </c>
      <c r="F13" s="11" t="s">
        <v>19</v>
      </c>
      <c r="G13" s="11">
        <v>39</v>
      </c>
      <c r="H13" s="10">
        <f t="shared" si="0"/>
        <v>708.33333333333337</v>
      </c>
    </row>
    <row r="14" spans="1:8" ht="15" customHeight="1" x14ac:dyDescent="0.25">
      <c r="A14" s="9" t="s">
        <v>30</v>
      </c>
      <c r="B14" s="20" t="s">
        <v>31</v>
      </c>
      <c r="C14" s="10">
        <v>8500</v>
      </c>
      <c r="D14" s="10">
        <v>3000</v>
      </c>
      <c r="E14" s="10">
        <v>1300</v>
      </c>
      <c r="F14" s="11" t="s">
        <v>19</v>
      </c>
      <c r="G14" s="11">
        <v>39</v>
      </c>
      <c r="H14" s="10">
        <f t="shared" si="0"/>
        <v>708.33333333333337</v>
      </c>
    </row>
    <row r="17" spans="1:6" ht="15" customHeight="1" x14ac:dyDescent="0.25">
      <c r="A17" s="21" t="s">
        <v>32</v>
      </c>
    </row>
    <row r="18" spans="1:6" ht="15" customHeight="1" x14ac:dyDescent="0.25">
      <c r="A18" s="2" t="s">
        <v>33</v>
      </c>
      <c r="B18" s="2" t="s">
        <v>34</v>
      </c>
      <c r="C18" s="2" t="s">
        <v>35</v>
      </c>
      <c r="D18" s="2" t="s">
        <v>36</v>
      </c>
    </row>
    <row r="19" spans="1:6" ht="33.6" customHeight="1" x14ac:dyDescent="0.25">
      <c r="A19" s="22" t="s">
        <v>37</v>
      </c>
      <c r="B19" s="11" t="s">
        <v>38</v>
      </c>
      <c r="C19" s="9" t="s">
        <v>39</v>
      </c>
      <c r="D19" s="23" t="s">
        <v>40</v>
      </c>
    </row>
    <row r="20" spans="1:6" ht="41.45" customHeight="1" x14ac:dyDescent="0.25">
      <c r="A20" s="22" t="s">
        <v>41</v>
      </c>
      <c r="B20" s="11" t="s">
        <v>38</v>
      </c>
      <c r="C20" s="9" t="s">
        <v>42</v>
      </c>
      <c r="D20" s="23" t="s">
        <v>43</v>
      </c>
    </row>
    <row r="21" spans="1:6" ht="30.6" customHeight="1" x14ac:dyDescent="0.25">
      <c r="A21" s="22" t="s">
        <v>44</v>
      </c>
      <c r="B21" s="11" t="s">
        <v>45</v>
      </c>
      <c r="C21" s="9" t="s">
        <v>46</v>
      </c>
      <c r="D21" s="23" t="s">
        <v>47</v>
      </c>
    </row>
    <row r="22" spans="1:6" ht="32.1" customHeight="1" x14ac:dyDescent="0.25">
      <c r="A22" s="22" t="s">
        <v>48</v>
      </c>
      <c r="B22" s="11" t="s">
        <v>49</v>
      </c>
      <c r="C22" s="9" t="s">
        <v>50</v>
      </c>
      <c r="D22" s="23" t="s">
        <v>51</v>
      </c>
    </row>
    <row r="23" spans="1:6" ht="38.450000000000003" customHeight="1" x14ac:dyDescent="0.25">
      <c r="A23" s="22" t="s">
        <v>52</v>
      </c>
      <c r="B23" s="11" t="s">
        <v>53</v>
      </c>
      <c r="C23" s="9" t="s">
        <v>54</v>
      </c>
      <c r="D23" s="23" t="s">
        <v>55</v>
      </c>
    </row>
    <row r="25" spans="1:6" ht="15" customHeight="1" x14ac:dyDescent="0.25">
      <c r="A25" s="24" t="s">
        <v>56</v>
      </c>
    </row>
    <row r="27" spans="1:6" ht="15" customHeight="1" x14ac:dyDescent="0.25">
      <c r="A27" s="21" t="s">
        <v>57</v>
      </c>
    </row>
    <row r="28" spans="1:6" ht="15" customHeight="1" x14ac:dyDescent="0.25">
      <c r="A28" s="124" t="s">
        <v>58</v>
      </c>
      <c r="B28" s="124"/>
      <c r="C28" s="124"/>
      <c r="D28" s="124"/>
      <c r="E28" s="124"/>
      <c r="F28" s="124"/>
    </row>
    <row r="29" spans="1:6" ht="15" customHeight="1" x14ac:dyDescent="0.25">
      <c r="A29" s="124" t="s">
        <v>59</v>
      </c>
      <c r="B29" s="124"/>
      <c r="C29" s="124"/>
      <c r="D29" s="124"/>
      <c r="E29" s="124"/>
      <c r="F29" s="124"/>
    </row>
    <row r="30" spans="1:6" ht="15" customHeight="1" x14ac:dyDescent="0.25">
      <c r="A30" s="124" t="s">
        <v>60</v>
      </c>
      <c r="B30" s="124"/>
      <c r="C30" s="124"/>
      <c r="D30" s="124"/>
      <c r="E30" s="124"/>
      <c r="F30" s="124"/>
    </row>
    <row r="31" spans="1:6" ht="15" customHeight="1" x14ac:dyDescent="0.25">
      <c r="A31" s="124" t="s">
        <v>61</v>
      </c>
      <c r="B31" s="124"/>
      <c r="C31" s="124"/>
      <c r="D31" s="124"/>
      <c r="E31" s="124"/>
      <c r="F31" s="124"/>
    </row>
    <row r="32" spans="1:6" ht="15" customHeight="1" x14ac:dyDescent="0.25">
      <c r="A32" s="124" t="s">
        <v>62</v>
      </c>
      <c r="B32" s="124"/>
      <c r="C32" s="124"/>
      <c r="D32" s="124"/>
      <c r="E32" s="124"/>
      <c r="F32" s="124"/>
    </row>
    <row r="33" spans="1:6" ht="15" customHeight="1" x14ac:dyDescent="0.25">
      <c r="A33" s="124" t="s">
        <v>63</v>
      </c>
      <c r="B33" s="124"/>
      <c r="C33" s="124"/>
      <c r="D33" s="124"/>
      <c r="E33" s="124"/>
      <c r="F33" s="124"/>
    </row>
  </sheetData>
  <mergeCells count="8">
    <mergeCell ref="A31:F31"/>
    <mergeCell ref="A32:F32"/>
    <mergeCell ref="A33:F33"/>
    <mergeCell ref="A1:H1"/>
    <mergeCell ref="A2:H2"/>
    <mergeCell ref="A28:F28"/>
    <mergeCell ref="A29:F29"/>
    <mergeCell ref="A30:F3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11226"/>
  </sheetPr>
  <dimension ref="A1:Q59"/>
  <sheetViews>
    <sheetView zoomScaleNormal="100" workbookViewId="0">
      <pane ySplit="4" topLeftCell="A39" activePane="bottomLeft" state="frozen"/>
      <selection pane="bottomLeft" activeCell="H47" sqref="H47"/>
    </sheetView>
  </sheetViews>
  <sheetFormatPr defaultColWidth="8.7109375" defaultRowHeight="15" x14ac:dyDescent="0.25"/>
  <cols>
    <col min="1" max="1" width="16" customWidth="1"/>
    <col min="2" max="2" width="40" customWidth="1"/>
    <col min="3" max="3" width="14" customWidth="1"/>
    <col min="4" max="7" width="16" customWidth="1"/>
    <col min="8" max="8" width="48" customWidth="1"/>
    <col min="9" max="12" width="12" customWidth="1"/>
    <col min="13" max="13" width="8" customWidth="1"/>
    <col min="14" max="16" width="12" customWidth="1"/>
    <col min="17" max="17" width="14" customWidth="1"/>
  </cols>
  <sheetData>
    <row r="1" spans="1:17" ht="31.5" customHeight="1" x14ac:dyDescent="0.25">
      <c r="A1" s="129" t="s">
        <v>64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</row>
    <row r="3" spans="1:17" ht="15" customHeight="1" x14ac:dyDescent="0.25">
      <c r="A3" s="120" t="s">
        <v>65</v>
      </c>
      <c r="B3" s="120"/>
      <c r="C3" s="120"/>
      <c r="D3" s="120"/>
      <c r="E3" s="121" t="s">
        <v>66</v>
      </c>
      <c r="F3" s="121"/>
      <c r="G3" s="121"/>
      <c r="H3" s="121"/>
      <c r="I3" s="122" t="s">
        <v>67</v>
      </c>
      <c r="J3" s="122"/>
      <c r="K3" s="122"/>
      <c r="L3" s="122"/>
      <c r="M3" s="122"/>
      <c r="N3" s="123" t="s">
        <v>68</v>
      </c>
      <c r="O3" s="123"/>
      <c r="P3" s="123"/>
      <c r="Q3" s="123"/>
    </row>
    <row r="4" spans="1:17" ht="21.75" customHeight="1" x14ac:dyDescent="0.25">
      <c r="A4" s="6" t="s">
        <v>69</v>
      </c>
      <c r="B4" s="6" t="s">
        <v>3</v>
      </c>
      <c r="C4" s="6" t="s">
        <v>70</v>
      </c>
      <c r="D4" s="6" t="s">
        <v>4</v>
      </c>
      <c r="E4" s="5" t="s">
        <v>71</v>
      </c>
      <c r="F4" s="5" t="s">
        <v>72</v>
      </c>
      <c r="G4" s="5" t="s">
        <v>73</v>
      </c>
      <c r="H4" s="5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3" t="s">
        <v>80</v>
      </c>
      <c r="O4" s="3" t="s">
        <v>81</v>
      </c>
      <c r="P4" s="3" t="s">
        <v>82</v>
      </c>
      <c r="Q4" s="3" t="s">
        <v>83</v>
      </c>
    </row>
    <row r="5" spans="1:17" ht="15" customHeight="1" x14ac:dyDescent="0.25">
      <c r="A5" s="25" t="s">
        <v>10</v>
      </c>
      <c r="B5" s="1" t="s">
        <v>11</v>
      </c>
      <c r="C5" s="11">
        <v>8</v>
      </c>
      <c r="D5" s="10">
        <v>10000</v>
      </c>
      <c r="E5" s="10">
        <v>12495</v>
      </c>
      <c r="F5" s="10">
        <v>12495</v>
      </c>
      <c r="G5" s="10">
        <v>0</v>
      </c>
      <c r="H5" s="26">
        <f t="shared" ref="H5:H15" si="0">IF(E5=0,1,F5/E5)</f>
        <v>1</v>
      </c>
      <c r="I5" s="10">
        <v>15300</v>
      </c>
      <c r="J5" s="10">
        <v>2805</v>
      </c>
      <c r="K5" s="10">
        <v>12495</v>
      </c>
      <c r="L5" s="10">
        <v>0</v>
      </c>
      <c r="M5" s="26">
        <f t="shared" ref="M5:M15" si="1">IF(I5-J5=0,1,K5/(I5-J5))</f>
        <v>1</v>
      </c>
      <c r="N5" s="10">
        <v>12750</v>
      </c>
      <c r="O5" s="10">
        <v>2550</v>
      </c>
      <c r="P5" s="10">
        <v>0</v>
      </c>
      <c r="Q5" s="27">
        <f t="shared" ref="Q5:Q14" si="2">N5-O5+P5</f>
        <v>10200</v>
      </c>
    </row>
    <row r="6" spans="1:17" ht="15" customHeight="1" x14ac:dyDescent="0.25">
      <c r="A6" s="25" t="s">
        <v>13</v>
      </c>
      <c r="B6" s="12" t="s">
        <v>14</v>
      </c>
      <c r="C6" s="11">
        <v>13</v>
      </c>
      <c r="D6" s="10">
        <v>9400</v>
      </c>
      <c r="E6" s="10">
        <v>26515</v>
      </c>
      <c r="F6" s="10">
        <v>21140</v>
      </c>
      <c r="G6" s="10">
        <v>5375</v>
      </c>
      <c r="H6" s="26">
        <f t="shared" si="0"/>
        <v>0.79728455591174807</v>
      </c>
      <c r="I6" s="10">
        <v>32900</v>
      </c>
      <c r="J6" s="10">
        <v>8640</v>
      </c>
      <c r="K6" s="10">
        <v>19820</v>
      </c>
      <c r="L6" s="10">
        <v>4440</v>
      </c>
      <c r="M6" s="26">
        <f t="shared" si="1"/>
        <v>0.81698268755152514</v>
      </c>
      <c r="N6" s="10">
        <v>12000</v>
      </c>
      <c r="O6" s="10">
        <v>16800</v>
      </c>
      <c r="P6" s="10">
        <v>4440</v>
      </c>
      <c r="Q6" s="27">
        <f t="shared" si="2"/>
        <v>-360</v>
      </c>
    </row>
    <row r="7" spans="1:17" ht="15" customHeight="1" x14ac:dyDescent="0.25">
      <c r="A7" s="25" t="s">
        <v>15</v>
      </c>
      <c r="B7" s="13" t="s">
        <v>16</v>
      </c>
      <c r="C7" s="11">
        <v>12</v>
      </c>
      <c r="D7" s="10">
        <v>9400</v>
      </c>
      <c r="E7" s="10">
        <v>22160</v>
      </c>
      <c r="F7" s="10">
        <v>21260</v>
      </c>
      <c r="G7" s="10">
        <v>900</v>
      </c>
      <c r="H7" s="26">
        <f t="shared" si="0"/>
        <v>0.95938628158844763</v>
      </c>
      <c r="I7" s="10">
        <v>30800</v>
      </c>
      <c r="J7" s="10">
        <v>4040</v>
      </c>
      <c r="K7" s="10">
        <v>26210</v>
      </c>
      <c r="L7" s="10">
        <v>550</v>
      </c>
      <c r="M7" s="26">
        <f t="shared" si="1"/>
        <v>0.97944693572496266</v>
      </c>
      <c r="N7" s="10">
        <v>26400</v>
      </c>
      <c r="O7" s="10">
        <v>2400</v>
      </c>
      <c r="P7" s="10">
        <v>550</v>
      </c>
      <c r="Q7" s="27">
        <f t="shared" si="2"/>
        <v>24550</v>
      </c>
    </row>
    <row r="8" spans="1:17" ht="15" customHeight="1" x14ac:dyDescent="0.25">
      <c r="A8" s="25" t="s">
        <v>17</v>
      </c>
      <c r="B8" s="14" t="s">
        <v>18</v>
      </c>
      <c r="C8" s="11">
        <v>6</v>
      </c>
      <c r="D8" s="10">
        <v>7350</v>
      </c>
      <c r="E8" s="10">
        <v>33927.5</v>
      </c>
      <c r="F8" s="10">
        <v>24522.5</v>
      </c>
      <c r="G8" s="10">
        <v>9405</v>
      </c>
      <c r="H8" s="26">
        <f t="shared" si="0"/>
        <v>0.72279124603934863</v>
      </c>
      <c r="I8" s="10">
        <v>38810</v>
      </c>
      <c r="J8" s="10">
        <v>5482.5</v>
      </c>
      <c r="K8" s="10">
        <v>27395</v>
      </c>
      <c r="L8" s="10">
        <v>5932.5</v>
      </c>
      <c r="M8" s="26">
        <f t="shared" si="1"/>
        <v>0.82199384892356164</v>
      </c>
      <c r="N8" s="10">
        <v>28050</v>
      </c>
      <c r="O8" s="10">
        <v>5100</v>
      </c>
      <c r="P8" s="10">
        <v>5932.5</v>
      </c>
      <c r="Q8" s="27">
        <f t="shared" si="2"/>
        <v>28882.5</v>
      </c>
    </row>
    <row r="9" spans="1:17" ht="15" customHeight="1" x14ac:dyDescent="0.25">
      <c r="A9" s="25" t="s">
        <v>20</v>
      </c>
      <c r="B9" s="15" t="s">
        <v>21</v>
      </c>
      <c r="C9" s="11">
        <v>10</v>
      </c>
      <c r="D9" s="10">
        <v>7350</v>
      </c>
      <c r="E9" s="10">
        <v>8252.5</v>
      </c>
      <c r="F9" s="10">
        <v>5750</v>
      </c>
      <c r="G9" s="10">
        <v>2502.5</v>
      </c>
      <c r="H9" s="26">
        <f t="shared" si="0"/>
        <v>0.69675855801272346</v>
      </c>
      <c r="I9" s="10">
        <v>9152.5</v>
      </c>
      <c r="J9" s="10">
        <v>127.5</v>
      </c>
      <c r="K9" s="10">
        <v>7972.5</v>
      </c>
      <c r="L9" s="10">
        <v>1052.5</v>
      </c>
      <c r="M9" s="26">
        <f t="shared" si="1"/>
        <v>0.88337950138504151</v>
      </c>
      <c r="N9" s="10">
        <v>7650</v>
      </c>
      <c r="O9" s="10">
        <v>0</v>
      </c>
      <c r="P9" s="10">
        <v>1052.5</v>
      </c>
      <c r="Q9" s="27">
        <f t="shared" si="2"/>
        <v>8702.5</v>
      </c>
    </row>
    <row r="10" spans="1:17" ht="15" customHeight="1" x14ac:dyDescent="0.25">
      <c r="A10" s="25" t="s">
        <v>22</v>
      </c>
      <c r="B10" s="16" t="s">
        <v>23</v>
      </c>
      <c r="C10" s="11">
        <v>10</v>
      </c>
      <c r="D10" s="10">
        <v>8500</v>
      </c>
      <c r="E10" s="10">
        <v>25000</v>
      </c>
      <c r="F10" s="10">
        <v>21716.67</v>
      </c>
      <c r="G10" s="10">
        <v>3283.33</v>
      </c>
      <c r="H10" s="26">
        <f t="shared" si="0"/>
        <v>0.86866679999999996</v>
      </c>
      <c r="I10" s="10">
        <v>30650</v>
      </c>
      <c r="J10" s="10">
        <v>4600</v>
      </c>
      <c r="K10" s="10">
        <v>23772.5</v>
      </c>
      <c r="L10" s="10">
        <v>2427.5</v>
      </c>
      <c r="M10" s="26">
        <f t="shared" si="1"/>
        <v>0.91257197696737047</v>
      </c>
      <c r="N10" s="10">
        <v>30000</v>
      </c>
      <c r="O10" s="10">
        <v>0</v>
      </c>
      <c r="P10" s="10">
        <v>2427.5</v>
      </c>
      <c r="Q10" s="27">
        <f t="shared" si="2"/>
        <v>32427.5</v>
      </c>
    </row>
    <row r="11" spans="1:17" ht="15" customHeight="1" x14ac:dyDescent="0.25">
      <c r="A11" s="25" t="s">
        <v>24</v>
      </c>
      <c r="B11" s="17" t="s">
        <v>25</v>
      </c>
      <c r="C11" s="11">
        <v>8</v>
      </c>
      <c r="D11" s="10">
        <v>8500</v>
      </c>
      <c r="E11" s="10">
        <v>25450</v>
      </c>
      <c r="F11" s="10">
        <v>20350</v>
      </c>
      <c r="G11" s="10">
        <v>5100</v>
      </c>
      <c r="H11" s="26">
        <f t="shared" si="0"/>
        <v>0.79960707269155207</v>
      </c>
      <c r="I11" s="10">
        <v>23100</v>
      </c>
      <c r="J11" s="10">
        <v>2150</v>
      </c>
      <c r="K11" s="10">
        <v>17077.5</v>
      </c>
      <c r="L11" s="10">
        <v>3872.5</v>
      </c>
      <c r="M11" s="26">
        <f t="shared" si="1"/>
        <v>0.81515513126491645</v>
      </c>
      <c r="N11" s="10">
        <v>24000</v>
      </c>
      <c r="O11" s="10">
        <v>0</v>
      </c>
      <c r="P11" s="10">
        <v>3872.5</v>
      </c>
      <c r="Q11" s="27">
        <f t="shared" si="2"/>
        <v>27872.5</v>
      </c>
    </row>
    <row r="12" spans="1:17" ht="15" customHeight="1" x14ac:dyDescent="0.25">
      <c r="A12" s="25" t="s">
        <v>26</v>
      </c>
      <c r="B12" s="18" t="s">
        <v>27</v>
      </c>
      <c r="C12" s="11">
        <v>6</v>
      </c>
      <c r="D12" s="10">
        <v>8500</v>
      </c>
      <c r="E12" s="10">
        <v>18890</v>
      </c>
      <c r="F12" s="10">
        <v>10250</v>
      </c>
      <c r="G12" s="10">
        <v>8640</v>
      </c>
      <c r="H12" s="26">
        <f t="shared" si="0"/>
        <v>0.54261514028586555</v>
      </c>
      <c r="I12" s="10">
        <v>17970</v>
      </c>
      <c r="J12" s="10">
        <v>3300</v>
      </c>
      <c r="K12" s="10">
        <v>5350</v>
      </c>
      <c r="L12" s="10">
        <v>9320</v>
      </c>
      <c r="M12" s="26">
        <f t="shared" si="1"/>
        <v>0.36468984321745057</v>
      </c>
      <c r="N12" s="10">
        <v>15000</v>
      </c>
      <c r="O12" s="10">
        <v>3000</v>
      </c>
      <c r="P12" s="10">
        <v>9320</v>
      </c>
      <c r="Q12" s="27">
        <f t="shared" si="2"/>
        <v>21320</v>
      </c>
    </row>
    <row r="13" spans="1:17" ht="15" customHeight="1" x14ac:dyDescent="0.25">
      <c r="A13" s="25" t="s">
        <v>28</v>
      </c>
      <c r="B13" s="19" t="s">
        <v>29</v>
      </c>
      <c r="C13" s="11">
        <v>4</v>
      </c>
      <c r="D13" s="10">
        <v>8500</v>
      </c>
      <c r="E13" s="10">
        <v>15700</v>
      </c>
      <c r="F13" s="10">
        <v>12566.67</v>
      </c>
      <c r="G13" s="10">
        <v>3133.33</v>
      </c>
      <c r="H13" s="26">
        <f t="shared" si="0"/>
        <v>0.80042484076433118</v>
      </c>
      <c r="I13" s="10">
        <v>11420</v>
      </c>
      <c r="J13" s="10">
        <v>150</v>
      </c>
      <c r="K13" s="10">
        <v>8850</v>
      </c>
      <c r="L13" s="10">
        <v>2420</v>
      </c>
      <c r="M13" s="26">
        <f t="shared" si="1"/>
        <v>0.78527062999112685</v>
      </c>
      <c r="N13" s="10">
        <v>12000</v>
      </c>
      <c r="O13" s="10">
        <v>0</v>
      </c>
      <c r="P13" s="10">
        <v>2420</v>
      </c>
      <c r="Q13" s="27">
        <f t="shared" si="2"/>
        <v>14420</v>
      </c>
    </row>
    <row r="14" spans="1:17" ht="15" customHeight="1" x14ac:dyDescent="0.25">
      <c r="A14" s="25" t="s">
        <v>30</v>
      </c>
      <c r="B14" s="20" t="s">
        <v>31</v>
      </c>
      <c r="C14" s="11">
        <v>3</v>
      </c>
      <c r="D14" s="10">
        <v>8500</v>
      </c>
      <c r="E14" s="10">
        <v>7900</v>
      </c>
      <c r="F14" s="10">
        <v>5816.67</v>
      </c>
      <c r="G14" s="10">
        <v>2083.33</v>
      </c>
      <c r="H14" s="26">
        <f t="shared" si="0"/>
        <v>0.73628734177215194</v>
      </c>
      <c r="I14" s="10">
        <v>10000</v>
      </c>
      <c r="J14" s="10">
        <v>3000</v>
      </c>
      <c r="K14" s="10">
        <v>7000</v>
      </c>
      <c r="L14" s="10">
        <v>0</v>
      </c>
      <c r="M14" s="26">
        <f t="shared" si="1"/>
        <v>1</v>
      </c>
      <c r="N14" s="10">
        <v>6000</v>
      </c>
      <c r="O14" s="10">
        <v>3000</v>
      </c>
      <c r="P14" s="10">
        <v>0</v>
      </c>
      <c r="Q14" s="27">
        <f t="shared" si="2"/>
        <v>3000</v>
      </c>
    </row>
    <row r="15" spans="1:17" ht="15" customHeight="1" x14ac:dyDescent="0.25">
      <c r="A15" s="28" t="s">
        <v>84</v>
      </c>
      <c r="B15" s="28"/>
      <c r="C15" s="28">
        <f>SUM(C5:C14)</f>
        <v>80</v>
      </c>
      <c r="D15" s="28"/>
      <c r="E15" s="29">
        <f>SUM(E5:E14)</f>
        <v>196290</v>
      </c>
      <c r="F15" s="29">
        <f>SUM(F5:F14)</f>
        <v>155867.51</v>
      </c>
      <c r="G15" s="29">
        <f>SUM(G5:G14)</f>
        <v>40422.490000000005</v>
      </c>
      <c r="H15" s="30">
        <f t="shared" si="0"/>
        <v>0.79406750216516386</v>
      </c>
      <c r="I15" s="29">
        <f>SUM(I5:I14)</f>
        <v>220102.5</v>
      </c>
      <c r="J15" s="29">
        <f>SUM(J5:J14)</f>
        <v>34295</v>
      </c>
      <c r="K15" s="29">
        <f>SUM(K5:K14)</f>
        <v>155942.5</v>
      </c>
      <c r="L15" s="29">
        <f>SUM(L5:L14)</f>
        <v>30015</v>
      </c>
      <c r="M15" s="30">
        <f t="shared" si="1"/>
        <v>0.83926913606824272</v>
      </c>
      <c r="N15" s="29">
        <f>SUM(N5:N14)</f>
        <v>173850</v>
      </c>
      <c r="O15" s="29">
        <f>SUM(O5:O14)</f>
        <v>32850</v>
      </c>
      <c r="P15" s="29">
        <f>SUM(P5:P14)</f>
        <v>30015</v>
      </c>
      <c r="Q15" s="29">
        <f>SUM(Q5:Q14)</f>
        <v>171015</v>
      </c>
    </row>
    <row r="17" spans="1:8" ht="15" customHeight="1" x14ac:dyDescent="0.25">
      <c r="A17" s="31"/>
      <c r="B17" s="31"/>
      <c r="C17" s="31"/>
      <c r="D17" s="31"/>
      <c r="E17" s="31"/>
      <c r="F17" s="31"/>
      <c r="G17" s="31"/>
      <c r="H17" s="31"/>
    </row>
    <row r="18" spans="1:8" ht="27.75" customHeight="1" x14ac:dyDescent="0.25">
      <c r="A18" s="127" t="s">
        <v>85</v>
      </c>
      <c r="B18" s="127"/>
      <c r="C18" s="127"/>
      <c r="D18" s="127"/>
      <c r="E18" s="127"/>
      <c r="F18" s="127"/>
      <c r="G18" s="127"/>
      <c r="H18" s="127"/>
    </row>
    <row r="19" spans="1:8" ht="15" customHeight="1" x14ac:dyDescent="0.25">
      <c r="A19" s="128" t="s">
        <v>86</v>
      </c>
      <c r="B19" s="128"/>
      <c r="C19" s="128"/>
      <c r="D19" s="128"/>
      <c r="E19" s="128"/>
      <c r="F19" s="128"/>
      <c r="G19" s="128"/>
      <c r="H19" s="128"/>
    </row>
    <row r="20" spans="1:8" ht="25.5" customHeight="1" x14ac:dyDescent="0.25">
      <c r="A20" s="32" t="s">
        <v>87</v>
      </c>
      <c r="B20" s="32" t="s">
        <v>88</v>
      </c>
      <c r="C20" s="32" t="s">
        <v>69</v>
      </c>
      <c r="D20" s="32" t="s">
        <v>73</v>
      </c>
      <c r="E20" s="32" t="s">
        <v>78</v>
      </c>
      <c r="F20" s="32" t="s">
        <v>89</v>
      </c>
      <c r="G20" s="32" t="s">
        <v>90</v>
      </c>
      <c r="H20" s="32" t="s">
        <v>91</v>
      </c>
    </row>
    <row r="21" spans="1:8" ht="15" customHeight="1" x14ac:dyDescent="0.25">
      <c r="A21" s="33">
        <v>1</v>
      </c>
      <c r="B21" s="34" t="s">
        <v>92</v>
      </c>
      <c r="C21" s="33" t="s">
        <v>26</v>
      </c>
      <c r="D21" s="35">
        <v>2800</v>
      </c>
      <c r="E21" s="36">
        <v>4300</v>
      </c>
      <c r="F21" s="37">
        <v>4300</v>
      </c>
      <c r="G21" s="33" t="s">
        <v>93</v>
      </c>
      <c r="H21" s="38" t="s">
        <v>94</v>
      </c>
    </row>
    <row r="22" spans="1:8" ht="15" customHeight="1" x14ac:dyDescent="0.25">
      <c r="A22" s="33">
        <v>2</v>
      </c>
      <c r="B22" s="34" t="s">
        <v>95</v>
      </c>
      <c r="C22" s="33" t="s">
        <v>17</v>
      </c>
      <c r="D22" s="35">
        <v>3160</v>
      </c>
      <c r="E22" s="36">
        <v>4210</v>
      </c>
      <c r="F22" s="37">
        <v>4210</v>
      </c>
      <c r="G22" s="33" t="s">
        <v>93</v>
      </c>
      <c r="H22" s="38" t="s">
        <v>96</v>
      </c>
    </row>
    <row r="23" spans="1:8" ht="15" customHeight="1" x14ac:dyDescent="0.25">
      <c r="A23" s="33">
        <v>3</v>
      </c>
      <c r="B23" s="34" t="s">
        <v>97</v>
      </c>
      <c r="C23" s="33" t="s">
        <v>13</v>
      </c>
      <c r="D23" s="35">
        <v>3600</v>
      </c>
      <c r="E23" s="36">
        <v>3380</v>
      </c>
      <c r="F23" s="37">
        <v>3380</v>
      </c>
      <c r="G23" s="33" t="s">
        <v>98</v>
      </c>
      <c r="H23" s="38" t="s">
        <v>99</v>
      </c>
    </row>
    <row r="24" spans="1:8" ht="15" customHeight="1" x14ac:dyDescent="0.25">
      <c r="A24" s="39">
        <v>4</v>
      </c>
      <c r="B24" s="40" t="s">
        <v>100</v>
      </c>
      <c r="C24" s="39" t="s">
        <v>28</v>
      </c>
      <c r="D24" s="41">
        <v>2600</v>
      </c>
      <c r="E24" s="42">
        <v>2420</v>
      </c>
      <c r="F24" s="43">
        <v>2420</v>
      </c>
      <c r="G24" s="39" t="s">
        <v>93</v>
      </c>
      <c r="H24" s="44" t="s">
        <v>101</v>
      </c>
    </row>
    <row r="25" spans="1:8" ht="15" customHeight="1" x14ac:dyDescent="0.25">
      <c r="A25" s="39">
        <v>5</v>
      </c>
      <c r="B25" s="40" t="s">
        <v>102</v>
      </c>
      <c r="C25" s="39" t="s">
        <v>26</v>
      </c>
      <c r="D25" s="41">
        <v>2590</v>
      </c>
      <c r="E25" s="42">
        <v>2270</v>
      </c>
      <c r="F25" s="43">
        <v>2270</v>
      </c>
      <c r="G25" s="39" t="s">
        <v>98</v>
      </c>
      <c r="H25" s="44" t="s">
        <v>103</v>
      </c>
    </row>
    <row r="26" spans="1:8" ht="15" customHeight="1" x14ac:dyDescent="0.25">
      <c r="A26" s="39">
        <v>6</v>
      </c>
      <c r="B26" s="40" t="s">
        <v>104</v>
      </c>
      <c r="C26" s="39" t="s">
        <v>24</v>
      </c>
      <c r="D26" s="41">
        <v>3200</v>
      </c>
      <c r="E26" s="42">
        <v>2122.5</v>
      </c>
      <c r="F26" s="43">
        <v>1522.5</v>
      </c>
      <c r="G26" s="39" t="s">
        <v>93</v>
      </c>
      <c r="H26" s="45" t="s">
        <v>105</v>
      </c>
    </row>
    <row r="27" spans="1:8" ht="15" customHeight="1" x14ac:dyDescent="0.25">
      <c r="A27" s="39">
        <v>7</v>
      </c>
      <c r="B27" s="40" t="s">
        <v>106</v>
      </c>
      <c r="C27" s="39" t="s">
        <v>26</v>
      </c>
      <c r="D27" s="41">
        <v>1650</v>
      </c>
      <c r="E27" s="42">
        <v>1650</v>
      </c>
      <c r="F27" s="43">
        <v>1650</v>
      </c>
      <c r="G27" s="39" t="s">
        <v>93</v>
      </c>
      <c r="H27" s="44" t="s">
        <v>107</v>
      </c>
    </row>
    <row r="28" spans="1:8" ht="15" customHeight="1" x14ac:dyDescent="0.25">
      <c r="A28" s="39">
        <v>8</v>
      </c>
      <c r="B28" s="40" t="s">
        <v>108</v>
      </c>
      <c r="C28" s="39" t="s">
        <v>24</v>
      </c>
      <c r="D28" s="41">
        <v>300</v>
      </c>
      <c r="E28" s="42">
        <v>1350</v>
      </c>
      <c r="F28" s="43">
        <v>0</v>
      </c>
      <c r="G28" s="39" t="s">
        <v>93</v>
      </c>
      <c r="H28" s="44" t="s">
        <v>109</v>
      </c>
    </row>
    <row r="29" spans="1:8" ht="15" customHeight="1" x14ac:dyDescent="0.25">
      <c r="A29" s="39">
        <v>9</v>
      </c>
      <c r="B29" s="40" t="s">
        <v>110</v>
      </c>
      <c r="C29" s="39" t="s">
        <v>22</v>
      </c>
      <c r="D29" s="41">
        <v>1200</v>
      </c>
      <c r="E29" s="42">
        <v>1200</v>
      </c>
      <c r="F29" s="43">
        <v>1200</v>
      </c>
      <c r="G29" s="39" t="s">
        <v>93</v>
      </c>
      <c r="H29" s="44" t="s">
        <v>111</v>
      </c>
    </row>
    <row r="30" spans="1:8" ht="15" customHeight="1" x14ac:dyDescent="0.25">
      <c r="A30" s="39">
        <v>10</v>
      </c>
      <c r="B30" s="40" t="s">
        <v>112</v>
      </c>
      <c r="C30" s="39" t="s">
        <v>26</v>
      </c>
      <c r="D30" s="41">
        <v>1600</v>
      </c>
      <c r="E30" s="42">
        <v>1100</v>
      </c>
      <c r="F30" s="43">
        <v>1100</v>
      </c>
      <c r="G30" s="39" t="s">
        <v>93</v>
      </c>
      <c r="H30" s="44" t="s">
        <v>113</v>
      </c>
    </row>
    <row r="31" spans="1:8" ht="15" customHeight="1" x14ac:dyDescent="0.25">
      <c r="A31" s="46">
        <v>11</v>
      </c>
      <c r="B31" s="47" t="s">
        <v>114</v>
      </c>
      <c r="C31" s="46" t="s">
        <v>20</v>
      </c>
      <c r="D31" s="48">
        <v>2422.5</v>
      </c>
      <c r="E31" s="49">
        <v>922.5</v>
      </c>
      <c r="F31" s="50">
        <v>422.5</v>
      </c>
      <c r="G31" s="46" t="s">
        <v>98</v>
      </c>
      <c r="H31" s="51" t="s">
        <v>115</v>
      </c>
    </row>
    <row r="32" spans="1:8" ht="15" customHeight="1" x14ac:dyDescent="0.25">
      <c r="A32" s="46">
        <v>12</v>
      </c>
      <c r="B32" s="47" t="s">
        <v>116</v>
      </c>
      <c r="C32" s="46" t="s">
        <v>17</v>
      </c>
      <c r="D32" s="48">
        <v>622.5</v>
      </c>
      <c r="E32" s="49">
        <v>872.5</v>
      </c>
      <c r="F32" s="50">
        <v>0</v>
      </c>
      <c r="G32" s="46" t="s">
        <v>98</v>
      </c>
      <c r="H32" s="51" t="s">
        <v>117</v>
      </c>
    </row>
    <row r="33" spans="1:8" ht="15" customHeight="1" x14ac:dyDescent="0.25">
      <c r="A33" s="46">
        <v>13</v>
      </c>
      <c r="B33" s="47" t="s">
        <v>118</v>
      </c>
      <c r="C33" s="46" t="s">
        <v>22</v>
      </c>
      <c r="D33" s="48">
        <v>1450</v>
      </c>
      <c r="E33" s="49">
        <v>850</v>
      </c>
      <c r="F33" s="50">
        <v>850</v>
      </c>
      <c r="G33" s="46" t="s">
        <v>98</v>
      </c>
      <c r="H33" s="51" t="s">
        <v>113</v>
      </c>
    </row>
    <row r="34" spans="1:8" ht="15" customHeight="1" x14ac:dyDescent="0.25">
      <c r="A34" s="46">
        <v>14</v>
      </c>
      <c r="B34" s="47" t="s">
        <v>119</v>
      </c>
      <c r="C34" s="46" t="s">
        <v>15</v>
      </c>
      <c r="D34" s="48">
        <v>0</v>
      </c>
      <c r="E34" s="49">
        <v>550</v>
      </c>
      <c r="F34" s="50">
        <v>0</v>
      </c>
      <c r="G34" s="46" t="s">
        <v>93</v>
      </c>
      <c r="H34" s="51" t="s">
        <v>120</v>
      </c>
    </row>
    <row r="35" spans="1:8" ht="15" customHeight="1" x14ac:dyDescent="0.25">
      <c r="A35" s="46">
        <v>15</v>
      </c>
      <c r="B35" s="47" t="s">
        <v>121</v>
      </c>
      <c r="C35" s="46" t="s">
        <v>17</v>
      </c>
      <c r="D35" s="48">
        <v>1450</v>
      </c>
      <c r="E35" s="49">
        <v>500</v>
      </c>
      <c r="F35" s="50">
        <v>500</v>
      </c>
      <c r="G35" s="46" t="s">
        <v>93</v>
      </c>
      <c r="H35" s="51" t="s">
        <v>122</v>
      </c>
    </row>
    <row r="36" spans="1:8" ht="15" customHeight="1" x14ac:dyDescent="0.25">
      <c r="A36" s="46">
        <v>16</v>
      </c>
      <c r="B36" s="47" t="s">
        <v>123</v>
      </c>
      <c r="C36" s="46" t="s">
        <v>24</v>
      </c>
      <c r="D36" s="48">
        <v>1400</v>
      </c>
      <c r="E36" s="49">
        <v>400</v>
      </c>
      <c r="F36" s="50">
        <v>400</v>
      </c>
      <c r="G36" s="46" t="s">
        <v>93</v>
      </c>
      <c r="H36" s="51" t="s">
        <v>111</v>
      </c>
    </row>
    <row r="37" spans="1:8" ht="15" customHeight="1" x14ac:dyDescent="0.25">
      <c r="A37" s="46">
        <v>17</v>
      </c>
      <c r="B37" s="47" t="s">
        <v>124</v>
      </c>
      <c r="C37" s="46" t="s">
        <v>13</v>
      </c>
      <c r="D37" s="48">
        <v>495</v>
      </c>
      <c r="E37" s="49">
        <v>360</v>
      </c>
      <c r="F37" s="50">
        <v>0</v>
      </c>
      <c r="G37" s="46" t="s">
        <v>48</v>
      </c>
      <c r="H37" s="51" t="s">
        <v>125</v>
      </c>
    </row>
    <row r="38" spans="1:8" ht="15" customHeight="1" x14ac:dyDescent="0.25">
      <c r="A38" s="46">
        <v>18</v>
      </c>
      <c r="B38" s="47" t="s">
        <v>126</v>
      </c>
      <c r="C38" s="46" t="s">
        <v>13</v>
      </c>
      <c r="D38" s="48">
        <v>350</v>
      </c>
      <c r="E38" s="49">
        <v>350</v>
      </c>
      <c r="F38" s="50">
        <v>0</v>
      </c>
      <c r="G38" s="46" t="s">
        <v>48</v>
      </c>
      <c r="H38" s="51" t="s">
        <v>127</v>
      </c>
    </row>
    <row r="39" spans="1:8" ht="15" customHeight="1" x14ac:dyDescent="0.25">
      <c r="A39" s="46">
        <v>19</v>
      </c>
      <c r="B39" s="47" t="s">
        <v>128</v>
      </c>
      <c r="C39" s="46" t="s">
        <v>13</v>
      </c>
      <c r="D39" s="48">
        <v>350</v>
      </c>
      <c r="E39" s="49">
        <v>350</v>
      </c>
      <c r="F39" s="50">
        <v>0</v>
      </c>
      <c r="G39" s="46" t="s">
        <v>48</v>
      </c>
      <c r="H39" s="51" t="s">
        <v>127</v>
      </c>
    </row>
    <row r="40" spans="1:8" ht="15" customHeight="1" x14ac:dyDescent="0.25">
      <c r="A40" s="46">
        <v>20</v>
      </c>
      <c r="B40" s="47" t="s">
        <v>129</v>
      </c>
      <c r="C40" s="46" t="s">
        <v>17</v>
      </c>
      <c r="D40" s="48">
        <v>1050</v>
      </c>
      <c r="E40" s="49">
        <v>350</v>
      </c>
      <c r="F40" s="50">
        <v>350</v>
      </c>
      <c r="G40" s="46" t="s">
        <v>93</v>
      </c>
      <c r="H40" s="51" t="s">
        <v>130</v>
      </c>
    </row>
    <row r="41" spans="1:8" ht="15" customHeight="1" x14ac:dyDescent="0.25">
      <c r="A41" s="46">
        <v>21</v>
      </c>
      <c r="B41" s="47" t="s">
        <v>131</v>
      </c>
      <c r="C41" s="46" t="s">
        <v>22</v>
      </c>
      <c r="D41" s="48">
        <v>0</v>
      </c>
      <c r="E41" s="49">
        <v>377.5</v>
      </c>
      <c r="F41" s="50">
        <v>377.5</v>
      </c>
      <c r="G41" s="46" t="s">
        <v>98</v>
      </c>
      <c r="H41" s="51" t="s">
        <v>132</v>
      </c>
    </row>
    <row r="42" spans="1:8" ht="15" customHeight="1" x14ac:dyDescent="0.25">
      <c r="A42" s="46">
        <v>22</v>
      </c>
      <c r="B42" s="47" t="s">
        <v>133</v>
      </c>
      <c r="C42" s="46" t="s">
        <v>20</v>
      </c>
      <c r="D42" s="48">
        <v>80</v>
      </c>
      <c r="E42" s="49">
        <v>130</v>
      </c>
      <c r="F42" s="50">
        <v>130</v>
      </c>
      <c r="G42" s="46" t="s">
        <v>93</v>
      </c>
      <c r="H42" s="51" t="s">
        <v>134</v>
      </c>
    </row>
    <row r="43" spans="1:8" ht="15" customHeight="1" x14ac:dyDescent="0.25">
      <c r="A43" s="46">
        <v>23</v>
      </c>
      <c r="B43" s="47" t="s">
        <v>135</v>
      </c>
      <c r="C43" s="46" t="s">
        <v>13</v>
      </c>
      <c r="D43" s="48">
        <v>0</v>
      </c>
      <c r="E43" s="49">
        <v>0</v>
      </c>
      <c r="F43" s="50">
        <v>0</v>
      </c>
      <c r="G43" s="46" t="s">
        <v>98</v>
      </c>
      <c r="H43" s="51" t="s">
        <v>136</v>
      </c>
    </row>
    <row r="44" spans="1:8" ht="15" customHeight="1" x14ac:dyDescent="0.25">
      <c r="A44" s="25"/>
      <c r="B44" s="52" t="s">
        <v>137</v>
      </c>
      <c r="C44" s="25"/>
      <c r="D44" s="29">
        <f>SUM(D21:D43)</f>
        <v>32370</v>
      </c>
      <c r="E44" s="53">
        <f>SUM(E21:E43)</f>
        <v>30015</v>
      </c>
      <c r="F44" s="54">
        <f>SUM(F21:F43)</f>
        <v>25082.5</v>
      </c>
      <c r="G44" s="25"/>
      <c r="H44" s="25"/>
    </row>
    <row r="45" spans="1:8" ht="15" customHeight="1" x14ac:dyDescent="0.25">
      <c r="A45" s="31"/>
      <c r="B45" s="55" t="s">
        <v>138</v>
      </c>
      <c r="C45" s="31"/>
      <c r="D45" s="31"/>
      <c r="E45" s="31"/>
      <c r="F45" s="31"/>
      <c r="G45" s="31"/>
      <c r="H45" s="31"/>
    </row>
    <row r="46" spans="1:8" ht="15" customHeight="1" x14ac:dyDescent="0.25">
      <c r="A46" s="31"/>
      <c r="B46" s="31"/>
      <c r="C46" s="31"/>
      <c r="D46" s="31"/>
      <c r="E46" s="31"/>
      <c r="F46" s="31"/>
      <c r="G46" s="31"/>
      <c r="H46" s="31"/>
    </row>
    <row r="47" spans="1:8" ht="15" customHeight="1" x14ac:dyDescent="0.25">
      <c r="A47" s="31"/>
      <c r="B47" s="24" t="s">
        <v>139</v>
      </c>
      <c r="C47" s="31"/>
      <c r="D47" s="31"/>
      <c r="E47" s="31"/>
      <c r="F47" s="31"/>
      <c r="G47" s="31"/>
      <c r="H47" s="31"/>
    </row>
    <row r="48" spans="1:8" ht="15" customHeight="1" x14ac:dyDescent="0.25">
      <c r="A48" s="31"/>
      <c r="B48" s="7" t="s">
        <v>140</v>
      </c>
      <c r="C48" s="31"/>
      <c r="D48" s="31"/>
      <c r="E48" s="31"/>
      <c r="F48" s="56" t="s">
        <v>141</v>
      </c>
      <c r="G48" s="31"/>
      <c r="H48" s="31"/>
    </row>
    <row r="49" spans="1:8" ht="15" customHeight="1" x14ac:dyDescent="0.25">
      <c r="A49" s="31"/>
      <c r="B49" s="7" t="s">
        <v>142</v>
      </c>
      <c r="C49" s="31"/>
      <c r="D49" s="31"/>
      <c r="E49" s="31"/>
      <c r="F49" s="56" t="s">
        <v>143</v>
      </c>
      <c r="G49" s="31"/>
      <c r="H49" s="31"/>
    </row>
    <row r="50" spans="1:8" ht="15" customHeight="1" x14ac:dyDescent="0.25">
      <c r="A50" s="31"/>
      <c r="B50" s="7" t="s">
        <v>144</v>
      </c>
      <c r="C50" s="31"/>
      <c r="D50" s="31"/>
      <c r="E50" s="31"/>
      <c r="F50" s="56" t="s">
        <v>145</v>
      </c>
      <c r="G50" s="31"/>
      <c r="H50" s="31"/>
    </row>
    <row r="51" spans="1:8" ht="15" customHeight="1" x14ac:dyDescent="0.25">
      <c r="A51" s="31"/>
      <c r="B51" s="7" t="s">
        <v>146</v>
      </c>
      <c r="C51" s="31"/>
      <c r="D51" s="31"/>
      <c r="E51" s="31"/>
      <c r="F51" s="56" t="s">
        <v>147</v>
      </c>
      <c r="G51" s="31"/>
      <c r="H51" s="31"/>
    </row>
    <row r="52" spans="1:8" ht="15" customHeight="1" x14ac:dyDescent="0.25">
      <c r="A52" s="31"/>
      <c r="B52" s="31"/>
      <c r="C52" s="31"/>
      <c r="D52" s="31"/>
      <c r="E52" s="31"/>
      <c r="F52" s="31"/>
      <c r="G52" s="31"/>
      <c r="H52" s="31"/>
    </row>
    <row r="53" spans="1:8" ht="15" customHeight="1" x14ac:dyDescent="0.25">
      <c r="A53" s="31"/>
      <c r="B53" s="31"/>
      <c r="C53" s="31"/>
      <c r="D53" s="31"/>
      <c r="E53" s="31"/>
      <c r="F53" s="31"/>
      <c r="G53" s="31"/>
      <c r="H53" s="31"/>
    </row>
    <row r="54" spans="1:8" ht="15" customHeight="1" x14ac:dyDescent="0.25">
      <c r="A54" s="31"/>
      <c r="B54" s="31"/>
      <c r="C54" s="31"/>
      <c r="D54" s="31"/>
      <c r="E54" s="31"/>
      <c r="F54" s="31"/>
      <c r="G54" s="31"/>
      <c r="H54" s="31"/>
    </row>
    <row r="55" spans="1:8" ht="15" customHeight="1" x14ac:dyDescent="0.25">
      <c r="A55" s="31"/>
      <c r="B55" s="31"/>
      <c r="C55" s="31"/>
      <c r="D55" s="31"/>
      <c r="E55" s="31"/>
      <c r="F55" s="31"/>
      <c r="G55" s="31"/>
      <c r="H55" s="31"/>
    </row>
    <row r="56" spans="1:8" ht="15" customHeight="1" x14ac:dyDescent="0.25">
      <c r="A56" s="31"/>
      <c r="B56" s="31"/>
      <c r="C56" s="31"/>
      <c r="D56" s="31"/>
      <c r="E56" s="31"/>
      <c r="F56" s="31"/>
      <c r="G56" s="31"/>
      <c r="H56" s="31"/>
    </row>
    <row r="57" spans="1:8" ht="15" customHeight="1" x14ac:dyDescent="0.25">
      <c r="A57" s="31"/>
      <c r="B57" s="31"/>
      <c r="C57" s="31"/>
      <c r="D57" s="31"/>
      <c r="E57" s="31"/>
      <c r="F57" s="31"/>
      <c r="G57" s="31"/>
      <c r="H57" s="31"/>
    </row>
    <row r="58" spans="1:8" ht="15" customHeight="1" x14ac:dyDescent="0.25">
      <c r="A58" s="31"/>
      <c r="B58" s="31"/>
      <c r="C58" s="31"/>
      <c r="D58" s="31"/>
      <c r="E58" s="31"/>
      <c r="F58" s="31"/>
      <c r="G58" s="31"/>
      <c r="H58" s="31"/>
    </row>
    <row r="59" spans="1:8" ht="15" customHeight="1" x14ac:dyDescent="0.25">
      <c r="A59" s="31"/>
      <c r="B59" s="31"/>
      <c r="C59" s="31"/>
      <c r="D59" s="31"/>
      <c r="E59" s="31"/>
      <c r="F59" s="31"/>
      <c r="G59" s="31"/>
      <c r="H59" s="31"/>
    </row>
  </sheetData>
  <mergeCells count="7">
    <mergeCell ref="A18:H18"/>
    <mergeCell ref="A19:H19"/>
    <mergeCell ref="A1:Q1"/>
    <mergeCell ref="A3:D3"/>
    <mergeCell ref="E3:H3"/>
    <mergeCell ref="I3:M3"/>
    <mergeCell ref="N3:Q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87511"/>
  </sheetPr>
  <dimension ref="A1:Q22"/>
  <sheetViews>
    <sheetView zoomScaleNormal="100" workbookViewId="0">
      <pane xSplit="2" ySplit="4" topLeftCell="I6" activePane="bottomRight" state="frozen"/>
      <selection pane="topRight" activeCell="C1" sqref="C1"/>
      <selection pane="bottomLeft" activeCell="A5" sqref="A5"/>
      <selection pane="bottomRight" activeCell="P14" sqref="P14"/>
    </sheetView>
  </sheetViews>
  <sheetFormatPr defaultColWidth="8.7109375" defaultRowHeight="15" x14ac:dyDescent="0.25"/>
  <cols>
    <col min="1" max="1" width="5" customWidth="1"/>
    <col min="2" max="2" width="36" customWidth="1"/>
    <col min="3" max="3" width="14" customWidth="1"/>
    <col min="4" max="16" width="13" customWidth="1"/>
    <col min="17" max="17" width="45" customWidth="1"/>
  </cols>
  <sheetData>
    <row r="1" spans="1:17" ht="25.5" customHeight="1" x14ac:dyDescent="0.25">
      <c r="A1" s="130" t="s">
        <v>148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</row>
    <row r="3" spans="1:17" ht="15" customHeight="1" x14ac:dyDescent="0.25">
      <c r="A3" s="120" t="s">
        <v>149</v>
      </c>
      <c r="B3" s="120"/>
      <c r="C3" s="120"/>
      <c r="D3" s="121" t="s">
        <v>150</v>
      </c>
      <c r="E3" s="121"/>
      <c r="F3" s="121"/>
      <c r="G3" s="121"/>
      <c r="H3" s="122" t="s">
        <v>151</v>
      </c>
      <c r="I3" s="122"/>
      <c r="J3" s="122"/>
      <c r="K3" s="122"/>
      <c r="L3" s="122"/>
      <c r="M3" s="123" t="s">
        <v>152</v>
      </c>
      <c r="N3" s="123"/>
      <c r="O3" s="123"/>
      <c r="P3" s="123"/>
      <c r="Q3" s="32" t="s">
        <v>153</v>
      </c>
    </row>
    <row r="4" spans="1:17" ht="27.75" customHeight="1" x14ac:dyDescent="0.25">
      <c r="A4" s="6" t="s">
        <v>87</v>
      </c>
      <c r="B4" s="6" t="s">
        <v>88</v>
      </c>
      <c r="C4" s="6" t="s">
        <v>33</v>
      </c>
      <c r="D4" s="5" t="s">
        <v>154</v>
      </c>
      <c r="E4" s="5" t="s">
        <v>155</v>
      </c>
      <c r="F4" s="5" t="s">
        <v>72</v>
      </c>
      <c r="G4" s="5" t="s">
        <v>73</v>
      </c>
      <c r="H4" s="4" t="s">
        <v>156</v>
      </c>
      <c r="I4" s="4" t="s">
        <v>157</v>
      </c>
      <c r="J4" s="4" t="s">
        <v>76</v>
      </c>
      <c r="K4" s="4" t="s">
        <v>77</v>
      </c>
      <c r="L4" s="4" t="s">
        <v>78</v>
      </c>
      <c r="M4" s="3" t="s">
        <v>80</v>
      </c>
      <c r="N4" s="3" t="s">
        <v>81</v>
      </c>
      <c r="O4" s="3" t="s">
        <v>158</v>
      </c>
      <c r="P4" s="3" t="s">
        <v>159</v>
      </c>
      <c r="Q4" s="32" t="s">
        <v>160</v>
      </c>
    </row>
    <row r="5" spans="1:17" ht="31.5" customHeight="1" x14ac:dyDescent="0.25">
      <c r="A5" s="57">
        <v>1</v>
      </c>
      <c r="B5" s="58" t="s">
        <v>161</v>
      </c>
      <c r="C5" s="57" t="s">
        <v>98</v>
      </c>
      <c r="D5" s="59">
        <v>2422.5</v>
      </c>
      <c r="E5" s="59"/>
      <c r="F5" s="59">
        <v>2422.5</v>
      </c>
      <c r="G5" s="59">
        <f t="shared" ref="G5:G10" si="0">IF(B5="","",IF(D5="",0,D5)+IF(E5="",0,E5)-IF(F5="",0,F5))</f>
        <v>0</v>
      </c>
      <c r="H5" s="59">
        <v>2550</v>
      </c>
      <c r="I5" s="59"/>
      <c r="J5" s="59">
        <v>127.5</v>
      </c>
      <c r="K5" s="59">
        <v>2422.5</v>
      </c>
      <c r="L5" s="59">
        <f t="shared" ref="L5:L10" si="1">IF(B5="","",IF(H5="",0,H5)+IF(I5="",0,I5)-IF(J5="",0,J5)-IF(K5="",0,K5))</f>
        <v>0</v>
      </c>
      <c r="M5" s="59">
        <v>0</v>
      </c>
      <c r="N5" s="59">
        <v>0</v>
      </c>
      <c r="O5" s="59">
        <f>SUMIF('Crèche - Payments'!C5:C154,B5,'Crèche - Payments'!F5:F154)</f>
        <v>0</v>
      </c>
      <c r="P5" s="60">
        <f t="shared" ref="P5:P9" si="2">IF(B5="","",IF(M5="",0,M5)-IF(N5="",0,N5)+IF(L5&lt;0,0,IF(L5="",0,L5))-IF(O5="",0,O5))</f>
        <v>0</v>
      </c>
      <c r="Q5" s="61" t="s">
        <v>162</v>
      </c>
    </row>
    <row r="6" spans="1:17" ht="30.6" customHeight="1" x14ac:dyDescent="0.25">
      <c r="A6" s="62">
        <v>2</v>
      </c>
      <c r="B6" s="63" t="s">
        <v>163</v>
      </c>
      <c r="C6" s="62"/>
      <c r="D6" s="64">
        <v>2550</v>
      </c>
      <c r="E6" s="64"/>
      <c r="F6" s="64">
        <v>2550</v>
      </c>
      <c r="G6" s="64">
        <f t="shared" si="0"/>
        <v>0</v>
      </c>
      <c r="H6" s="64">
        <v>2550</v>
      </c>
      <c r="I6" s="64"/>
      <c r="J6" s="64"/>
      <c r="K6" s="64">
        <v>2550</v>
      </c>
      <c r="L6" s="64">
        <f t="shared" si="1"/>
        <v>0</v>
      </c>
      <c r="M6" s="64">
        <v>5100</v>
      </c>
      <c r="N6" s="64"/>
      <c r="O6" s="64">
        <f>SUMIF('Crèche - Payments'!C5:C154,B6,'Crèche - Payments'!F5:F154)</f>
        <v>5100</v>
      </c>
      <c r="P6" s="65">
        <f t="shared" si="2"/>
        <v>0</v>
      </c>
      <c r="Q6" s="66" t="s">
        <v>162</v>
      </c>
    </row>
    <row r="7" spans="1:17" ht="30" customHeight="1" x14ac:dyDescent="0.25">
      <c r="A7" s="57">
        <v>3</v>
      </c>
      <c r="B7" s="58" t="s">
        <v>164</v>
      </c>
      <c r="C7" s="57" t="s">
        <v>98</v>
      </c>
      <c r="D7" s="59">
        <v>2422.5</v>
      </c>
      <c r="E7" s="59"/>
      <c r="F7" s="59">
        <v>2422.5</v>
      </c>
      <c r="G7" s="59">
        <f t="shared" si="0"/>
        <v>0</v>
      </c>
      <c r="H7" s="59">
        <v>2550</v>
      </c>
      <c r="I7" s="59"/>
      <c r="J7" s="59">
        <v>127.5</v>
      </c>
      <c r="K7" s="59">
        <v>2422.5</v>
      </c>
      <c r="L7" s="59">
        <f t="shared" si="1"/>
        <v>0</v>
      </c>
      <c r="M7" s="59">
        <v>2422.5</v>
      </c>
      <c r="N7" s="59">
        <v>127.5</v>
      </c>
      <c r="O7" s="59">
        <f>SUMIF('Crèche - Payments'!C5:C154,B7,'Crèche - Payments'!F5:F154)</f>
        <v>2422.5</v>
      </c>
      <c r="P7" s="60">
        <v>0</v>
      </c>
      <c r="Q7" s="61" t="s">
        <v>162</v>
      </c>
    </row>
    <row r="8" spans="1:17" ht="15" customHeight="1" x14ac:dyDescent="0.25">
      <c r="A8" s="62">
        <v>4</v>
      </c>
      <c r="B8" s="63" t="s">
        <v>165</v>
      </c>
      <c r="C8" s="62" t="s">
        <v>48</v>
      </c>
      <c r="D8" s="64"/>
      <c r="E8" s="64"/>
      <c r="F8" s="64"/>
      <c r="G8" s="64">
        <f t="shared" si="0"/>
        <v>0</v>
      </c>
      <c r="H8" s="64">
        <v>2550</v>
      </c>
      <c r="I8" s="64"/>
      <c r="J8" s="64">
        <v>2550</v>
      </c>
      <c r="K8" s="64"/>
      <c r="L8" s="64">
        <f t="shared" si="1"/>
        <v>0</v>
      </c>
      <c r="M8" s="64">
        <v>5100</v>
      </c>
      <c r="N8" s="64">
        <v>5100</v>
      </c>
      <c r="O8" s="64">
        <f>SUMIF('Crèche - Payments'!C5:C154,B8,'Crèche - Payments'!F5:F154)</f>
        <v>0</v>
      </c>
      <c r="P8" s="65">
        <f t="shared" si="2"/>
        <v>0</v>
      </c>
      <c r="Q8" s="66" t="s">
        <v>166</v>
      </c>
    </row>
    <row r="9" spans="1:17" ht="31.5" customHeight="1" x14ac:dyDescent="0.25">
      <c r="A9" s="57">
        <v>5</v>
      </c>
      <c r="B9" s="58" t="s">
        <v>360</v>
      </c>
      <c r="C9" s="57"/>
      <c r="D9" s="59">
        <v>2550</v>
      </c>
      <c r="E9" s="59"/>
      <c r="F9" s="59">
        <v>2550</v>
      </c>
      <c r="G9" s="59">
        <f t="shared" si="0"/>
        <v>0</v>
      </c>
      <c r="H9" s="59">
        <v>2550</v>
      </c>
      <c r="I9" s="59"/>
      <c r="J9" s="59"/>
      <c r="K9" s="59">
        <v>2550</v>
      </c>
      <c r="L9" s="59">
        <f t="shared" si="1"/>
        <v>0</v>
      </c>
      <c r="M9" s="59">
        <v>5100</v>
      </c>
      <c r="N9" s="59"/>
      <c r="O9" s="59">
        <v>5100</v>
      </c>
      <c r="P9" s="60">
        <f t="shared" si="2"/>
        <v>0</v>
      </c>
      <c r="Q9" s="61" t="s">
        <v>162</v>
      </c>
    </row>
    <row r="10" spans="1:17" ht="29.1" customHeight="1" x14ac:dyDescent="0.25">
      <c r="A10" s="62">
        <v>6</v>
      </c>
      <c r="B10" s="63" t="s">
        <v>168</v>
      </c>
      <c r="C10" s="62"/>
      <c r="D10" s="64">
        <v>2550</v>
      </c>
      <c r="E10" s="64"/>
      <c r="F10" s="64">
        <v>2550</v>
      </c>
      <c r="G10" s="64">
        <f t="shared" si="0"/>
        <v>0</v>
      </c>
      <c r="H10" s="64">
        <v>2550</v>
      </c>
      <c r="I10" s="64"/>
      <c r="J10" s="64"/>
      <c r="K10" s="64">
        <v>2550</v>
      </c>
      <c r="L10" s="64">
        <f t="shared" si="1"/>
        <v>0</v>
      </c>
      <c r="M10" s="64">
        <v>5100</v>
      </c>
      <c r="N10" s="64"/>
      <c r="O10" s="64">
        <v>2550</v>
      </c>
      <c r="P10" s="65">
        <f>IF(B10="","",IF(M10="",0,M10)-IF(N10="",0,N10)+IF(L10&lt;0,0,IF(L10="",0,L10))-IF(O10="",0,O10))</f>
        <v>2550</v>
      </c>
      <c r="Q10" s="66" t="s">
        <v>162</v>
      </c>
    </row>
    <row r="11" spans="1:17" ht="15" customHeight="1" x14ac:dyDescent="0.25">
      <c r="A11" s="57">
        <v>7</v>
      </c>
      <c r="B11" s="58" t="s">
        <v>341</v>
      </c>
      <c r="C11" s="57"/>
      <c r="D11" s="59"/>
      <c r="E11" s="59"/>
      <c r="F11" s="59"/>
      <c r="G11" s="59">
        <f t="shared" ref="G11:G20" si="3">IF(B11="","",0)</f>
        <v>0</v>
      </c>
      <c r="H11" s="59"/>
      <c r="I11" s="59"/>
      <c r="J11" s="59"/>
      <c r="K11" s="59"/>
      <c r="L11" s="59">
        <f t="shared" ref="L11:L20" si="4">IF(B11="","",0)</f>
        <v>0</v>
      </c>
      <c r="M11" s="59">
        <v>4842.5</v>
      </c>
      <c r="N11" s="59">
        <v>127.5</v>
      </c>
      <c r="O11" s="59">
        <v>5422.5</v>
      </c>
      <c r="P11" s="65">
        <v>-580</v>
      </c>
      <c r="Q11" s="61"/>
    </row>
    <row r="12" spans="1:17" ht="15" customHeight="1" x14ac:dyDescent="0.25">
      <c r="A12" s="62">
        <v>8</v>
      </c>
      <c r="B12" s="63" t="s">
        <v>344</v>
      </c>
      <c r="C12" s="62"/>
      <c r="D12" s="64"/>
      <c r="E12" s="64"/>
      <c r="F12" s="64"/>
      <c r="G12" s="64">
        <f t="shared" si="3"/>
        <v>0</v>
      </c>
      <c r="H12" s="64"/>
      <c r="I12" s="64">
        <v>0</v>
      </c>
      <c r="J12" s="64"/>
      <c r="K12" s="64"/>
      <c r="L12" s="64">
        <f t="shared" si="4"/>
        <v>0</v>
      </c>
      <c r="M12" s="64">
        <v>6250</v>
      </c>
      <c r="N12" s="64"/>
      <c r="O12" s="64">
        <v>6250</v>
      </c>
      <c r="P12" s="65">
        <f>IF(B12="","",IF(M12="",0,M12)-IF(N12="",0,N12)+IF(L12&lt;0,0,IF(L12="",0,L12))-IF(O12="",0,O12))</f>
        <v>0</v>
      </c>
      <c r="Q12" s="66"/>
    </row>
    <row r="13" spans="1:17" ht="15" customHeight="1" x14ac:dyDescent="0.25">
      <c r="A13" s="57">
        <v>9</v>
      </c>
      <c r="B13" s="58"/>
      <c r="C13" s="57"/>
      <c r="D13" s="59"/>
      <c r="E13" s="59"/>
      <c r="F13" s="59"/>
      <c r="G13" s="59" t="str">
        <f t="shared" si="3"/>
        <v/>
      </c>
      <c r="H13" s="59"/>
      <c r="I13" s="59"/>
      <c r="J13" s="59"/>
      <c r="K13" s="59"/>
      <c r="L13" s="59" t="str">
        <f t="shared" si="4"/>
        <v/>
      </c>
      <c r="M13" s="59"/>
      <c r="N13" s="59"/>
      <c r="O13" s="59"/>
      <c r="P13" s="59" t="str">
        <f t="shared" ref="P13:P20" si="5">IF(B13="","",0)</f>
        <v/>
      </c>
      <c r="Q13" s="61"/>
    </row>
    <row r="14" spans="1:17" ht="15" customHeight="1" x14ac:dyDescent="0.25">
      <c r="A14" s="62">
        <v>10</v>
      </c>
      <c r="B14" s="63"/>
      <c r="C14" s="62"/>
      <c r="D14" s="64"/>
      <c r="E14" s="64"/>
      <c r="F14" s="64"/>
      <c r="G14" s="64" t="str">
        <f t="shared" si="3"/>
        <v/>
      </c>
      <c r="H14" s="64"/>
      <c r="I14" s="64"/>
      <c r="J14" s="64"/>
      <c r="K14" s="64"/>
      <c r="L14" s="64" t="str">
        <f t="shared" si="4"/>
        <v/>
      </c>
      <c r="M14" s="64"/>
      <c r="N14" s="64"/>
      <c r="O14" s="64"/>
      <c r="P14" s="64" t="str">
        <f t="shared" si="5"/>
        <v/>
      </c>
      <c r="Q14" s="66"/>
    </row>
    <row r="15" spans="1:17" ht="15" customHeight="1" x14ac:dyDescent="0.25">
      <c r="A15" s="57">
        <v>11</v>
      </c>
      <c r="B15" s="58"/>
      <c r="C15" s="57"/>
      <c r="D15" s="59"/>
      <c r="E15" s="59"/>
      <c r="F15" s="59"/>
      <c r="G15" s="59" t="str">
        <f t="shared" si="3"/>
        <v/>
      </c>
      <c r="H15" s="59"/>
      <c r="I15" s="59"/>
      <c r="J15" s="59"/>
      <c r="K15" s="59"/>
      <c r="L15" s="59" t="str">
        <f t="shared" si="4"/>
        <v/>
      </c>
      <c r="M15" s="59"/>
      <c r="N15" s="59"/>
      <c r="O15" s="59"/>
      <c r="P15" s="59" t="str">
        <f t="shared" si="5"/>
        <v/>
      </c>
      <c r="Q15" s="61"/>
    </row>
    <row r="16" spans="1:17" ht="15" customHeight="1" x14ac:dyDescent="0.25">
      <c r="A16" s="62">
        <v>12</v>
      </c>
      <c r="B16" s="63"/>
      <c r="C16" s="62"/>
      <c r="D16" s="64"/>
      <c r="E16" s="64"/>
      <c r="F16" s="64"/>
      <c r="G16" s="64" t="str">
        <f t="shared" si="3"/>
        <v/>
      </c>
      <c r="H16" s="64"/>
      <c r="I16" s="64"/>
      <c r="J16" s="64"/>
      <c r="K16" s="64"/>
      <c r="L16" s="64" t="str">
        <f t="shared" si="4"/>
        <v/>
      </c>
      <c r="M16" s="64"/>
      <c r="N16" s="64"/>
      <c r="O16" s="64"/>
      <c r="P16" s="64" t="str">
        <f t="shared" si="5"/>
        <v/>
      </c>
      <c r="Q16" s="66"/>
    </row>
    <row r="17" spans="1:17" ht="15" customHeight="1" x14ac:dyDescent="0.25">
      <c r="A17" s="57">
        <v>13</v>
      </c>
      <c r="B17" s="58"/>
      <c r="C17" s="57"/>
      <c r="D17" s="59"/>
      <c r="E17" s="59"/>
      <c r="F17" s="59"/>
      <c r="G17" s="59" t="str">
        <f t="shared" si="3"/>
        <v/>
      </c>
      <c r="H17" s="59"/>
      <c r="I17" s="59"/>
      <c r="J17" s="59"/>
      <c r="K17" s="59"/>
      <c r="L17" s="59" t="str">
        <f t="shared" si="4"/>
        <v/>
      </c>
      <c r="M17" s="59"/>
      <c r="N17" s="59"/>
      <c r="O17" s="59"/>
      <c r="P17" s="59" t="str">
        <f t="shared" si="5"/>
        <v/>
      </c>
      <c r="Q17" s="61"/>
    </row>
    <row r="18" spans="1:17" ht="15" customHeight="1" x14ac:dyDescent="0.25">
      <c r="A18" s="62">
        <v>14</v>
      </c>
      <c r="B18" s="63"/>
      <c r="C18" s="62"/>
      <c r="D18" s="64"/>
      <c r="E18" s="64"/>
      <c r="F18" s="64"/>
      <c r="G18" s="64" t="str">
        <f t="shared" si="3"/>
        <v/>
      </c>
      <c r="H18" s="64"/>
      <c r="I18" s="64"/>
      <c r="J18" s="64"/>
      <c r="K18" s="64"/>
      <c r="L18" s="64" t="str">
        <f t="shared" si="4"/>
        <v/>
      </c>
      <c r="M18" s="64"/>
      <c r="N18" s="64"/>
      <c r="O18" s="64"/>
      <c r="P18" s="64" t="str">
        <f t="shared" si="5"/>
        <v/>
      </c>
      <c r="Q18" s="66"/>
    </row>
    <row r="19" spans="1:17" ht="15" customHeight="1" x14ac:dyDescent="0.25">
      <c r="A19" s="57">
        <v>15</v>
      </c>
      <c r="B19" s="58"/>
      <c r="C19" s="57"/>
      <c r="D19" s="59"/>
      <c r="E19" s="59"/>
      <c r="F19" s="59"/>
      <c r="G19" s="59" t="str">
        <f t="shared" si="3"/>
        <v/>
      </c>
      <c r="H19" s="59"/>
      <c r="I19" s="59"/>
      <c r="J19" s="59"/>
      <c r="K19" s="59"/>
      <c r="L19" s="59" t="str">
        <f t="shared" si="4"/>
        <v/>
      </c>
      <c r="M19" s="59"/>
      <c r="N19" s="59"/>
      <c r="O19" s="59"/>
      <c r="P19" s="59" t="str">
        <f t="shared" si="5"/>
        <v/>
      </c>
      <c r="Q19" s="61"/>
    </row>
    <row r="20" spans="1:17" ht="15" customHeight="1" x14ac:dyDescent="0.25">
      <c r="A20" s="62">
        <v>16</v>
      </c>
      <c r="B20" s="63"/>
      <c r="C20" s="62"/>
      <c r="D20" s="64"/>
      <c r="E20" s="64"/>
      <c r="F20" s="64"/>
      <c r="G20" s="64" t="str">
        <f t="shared" si="3"/>
        <v/>
      </c>
      <c r="H20" s="64"/>
      <c r="I20" s="64"/>
      <c r="J20" s="64"/>
      <c r="K20" s="64"/>
      <c r="L20" s="64" t="str">
        <f t="shared" si="4"/>
        <v/>
      </c>
      <c r="M20" s="64"/>
      <c r="N20" s="64"/>
      <c r="O20" s="64"/>
      <c r="P20" s="64" t="str">
        <f t="shared" si="5"/>
        <v/>
      </c>
      <c r="Q20" s="66"/>
    </row>
    <row r="21" spans="1:17" ht="15" customHeight="1" x14ac:dyDescent="0.25">
      <c r="A21" s="28"/>
      <c r="B21" s="28" t="s">
        <v>84</v>
      </c>
      <c r="C21" s="28"/>
      <c r="D21" s="29">
        <f t="shared" ref="D21:P21" si="6">SUM(D5:D20)</f>
        <v>12495</v>
      </c>
      <c r="E21" s="29">
        <f t="shared" si="6"/>
        <v>0</v>
      </c>
      <c r="F21" s="29">
        <f t="shared" si="6"/>
        <v>12495</v>
      </c>
      <c r="G21" s="29">
        <f t="shared" si="6"/>
        <v>0</v>
      </c>
      <c r="H21" s="29">
        <f t="shared" si="6"/>
        <v>15300</v>
      </c>
      <c r="I21" s="29">
        <f t="shared" si="6"/>
        <v>0</v>
      </c>
      <c r="J21" s="29">
        <f t="shared" si="6"/>
        <v>2805</v>
      </c>
      <c r="K21" s="29">
        <f t="shared" si="6"/>
        <v>12495</v>
      </c>
      <c r="L21" s="29">
        <f t="shared" si="6"/>
        <v>0</v>
      </c>
      <c r="M21" s="29">
        <f t="shared" si="6"/>
        <v>33915</v>
      </c>
      <c r="N21" s="29">
        <f t="shared" si="6"/>
        <v>5355</v>
      </c>
      <c r="O21" s="29">
        <f t="shared" si="6"/>
        <v>26845</v>
      </c>
      <c r="P21" s="29">
        <f t="shared" si="6"/>
        <v>1970</v>
      </c>
      <c r="Q21" s="61"/>
    </row>
    <row r="22" spans="1:17" ht="15" customHeight="1" x14ac:dyDescent="0.25">
      <c r="B22" s="67" t="s">
        <v>169</v>
      </c>
      <c r="F22" s="68" t="s">
        <v>170</v>
      </c>
      <c r="G22" s="69">
        <f>IF(D21+E21=0,1,F21/(D21+E21))</f>
        <v>1</v>
      </c>
      <c r="K22" s="68" t="s">
        <v>171</v>
      </c>
      <c r="L22" s="70">
        <f>IF(H21+I21-J21=0,1,K21/(H21+I21-J21))</f>
        <v>1</v>
      </c>
      <c r="O22" s="71">
        <f>SUMIF('Crèche - Payments'!C5:C154,B22,'Crèche - Payments'!F5:F154)</f>
        <v>0</v>
      </c>
      <c r="Q22" s="66"/>
    </row>
  </sheetData>
  <mergeCells count="5">
    <mergeCell ref="A1:O1"/>
    <mergeCell ref="A3:C3"/>
    <mergeCell ref="D3:G3"/>
    <mergeCell ref="H3:L3"/>
    <mergeCell ref="M3:P3"/>
  </mergeCells>
  <dataValidations count="1">
    <dataValidation type="list" allowBlank="1" showInputMessage="1" showErrorMessage="1" errorTitle="Invalid Entry" error="Select from: None, Founding Family, Sibling, Sibling 2nd, Sibling 3rd, Staff Child, or Waiver." promptTitle="Discount Type" prompt="Select discount type or &quot;None&quot; for full-fee pupils." sqref="C5:C20" xr:uid="{00000000-0002-0000-0200-000000000000}">
      <formula1>"None,Founding Family,Sibling,Sibling 2nd,Sibling 3rd,Staff Child,Waiver"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87511"/>
  </sheetPr>
  <dimension ref="A1:P18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17" sqref="H17"/>
    </sheetView>
  </sheetViews>
  <sheetFormatPr defaultColWidth="8.7109375" defaultRowHeight="15" x14ac:dyDescent="0.25"/>
  <cols>
    <col min="1" max="1" width="12" customWidth="1"/>
    <col min="2" max="2" width="13" customWidth="1"/>
    <col min="3" max="3" width="30" customWidth="1"/>
    <col min="4" max="4" width="8" customWidth="1"/>
    <col min="5" max="5" width="18" customWidth="1"/>
    <col min="6" max="6" width="14" customWidth="1"/>
    <col min="7" max="7" width="20" customWidth="1"/>
    <col min="8" max="8" width="33.42578125" customWidth="1"/>
    <col min="9" max="9" width="14" customWidth="1"/>
    <col min="10" max="10" width="10" customWidth="1"/>
    <col min="11" max="11" width="28" customWidth="1"/>
    <col min="16" max="16" width="13" hidden="1" customWidth="1"/>
  </cols>
  <sheetData>
    <row r="1" spans="1:16" ht="25.5" customHeight="1" x14ac:dyDescent="0.25">
      <c r="A1" s="130" t="s">
        <v>172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P1" t="s">
        <v>161</v>
      </c>
    </row>
    <row r="2" spans="1:16" ht="15" customHeight="1" x14ac:dyDescent="0.25">
      <c r="A2" s="131" t="s">
        <v>173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P2" t="s">
        <v>163</v>
      </c>
    </row>
    <row r="3" spans="1:16" ht="15" customHeight="1" x14ac:dyDescent="0.25">
      <c r="A3" s="132" t="s">
        <v>174</v>
      </c>
      <c r="B3" s="132"/>
      <c r="C3" s="132"/>
      <c r="D3" s="132"/>
      <c r="E3" s="132"/>
      <c r="F3" s="132"/>
      <c r="G3" s="133" t="s">
        <v>175</v>
      </c>
      <c r="H3" s="133"/>
      <c r="I3" s="133"/>
      <c r="J3" s="134" t="s">
        <v>176</v>
      </c>
      <c r="K3" s="134"/>
      <c r="P3" t="s">
        <v>164</v>
      </c>
    </row>
    <row r="4" spans="1:16" ht="25.5" customHeight="1" x14ac:dyDescent="0.25">
      <c r="A4" s="2" t="s">
        <v>177</v>
      </c>
      <c r="B4" s="2" t="s">
        <v>178</v>
      </c>
      <c r="C4" s="2" t="s">
        <v>88</v>
      </c>
      <c r="D4" s="2" t="s">
        <v>179</v>
      </c>
      <c r="E4" s="2" t="s">
        <v>180</v>
      </c>
      <c r="F4" s="2" t="s">
        <v>181</v>
      </c>
      <c r="G4" s="1" t="s">
        <v>182</v>
      </c>
      <c r="H4" s="1" t="s">
        <v>183</v>
      </c>
      <c r="I4" s="1" t="s">
        <v>184</v>
      </c>
      <c r="J4" s="8" t="s">
        <v>185</v>
      </c>
      <c r="K4" s="8" t="s">
        <v>36</v>
      </c>
      <c r="P4" t="s">
        <v>165</v>
      </c>
    </row>
    <row r="5" spans="1:16" ht="15" customHeight="1" x14ac:dyDescent="0.25">
      <c r="A5" s="72">
        <v>46120</v>
      </c>
      <c r="B5" s="57">
        <v>1031</v>
      </c>
      <c r="C5" s="58" t="s">
        <v>167</v>
      </c>
      <c r="D5" s="57" t="s">
        <v>342</v>
      </c>
      <c r="E5" s="57"/>
      <c r="F5" s="59">
        <v>2000</v>
      </c>
      <c r="G5" s="57" t="s">
        <v>338</v>
      </c>
      <c r="H5" s="58" t="s">
        <v>343</v>
      </c>
      <c r="I5" s="73">
        <f>IF(F5="","",F5)</f>
        <v>2000</v>
      </c>
      <c r="J5" s="57"/>
      <c r="K5" s="58"/>
      <c r="P5" t="s">
        <v>167</v>
      </c>
    </row>
    <row r="6" spans="1:16" ht="15" customHeight="1" x14ac:dyDescent="0.25">
      <c r="A6" s="74">
        <v>46120</v>
      </c>
      <c r="B6" s="62">
        <v>1032</v>
      </c>
      <c r="C6" s="63" t="s">
        <v>344</v>
      </c>
      <c r="D6" s="62" t="s">
        <v>342</v>
      </c>
      <c r="E6" s="62"/>
      <c r="F6" s="64">
        <v>5000</v>
      </c>
      <c r="G6" s="62" t="s">
        <v>338</v>
      </c>
      <c r="H6" s="63" t="s">
        <v>343</v>
      </c>
      <c r="I6" s="75">
        <f t="shared" ref="I6:I37" si="0">IF(F6="","",IF(I5="",F6,I5+F6))</f>
        <v>7000</v>
      </c>
      <c r="J6" s="62"/>
      <c r="K6" s="63"/>
      <c r="P6" t="s">
        <v>168</v>
      </c>
    </row>
    <row r="7" spans="1:16" ht="15" customHeight="1" x14ac:dyDescent="0.25">
      <c r="A7" s="72">
        <v>46121</v>
      </c>
      <c r="B7" s="57">
        <v>1033</v>
      </c>
      <c r="C7" s="58" t="s">
        <v>344</v>
      </c>
      <c r="D7" s="57" t="s">
        <v>342</v>
      </c>
      <c r="E7" s="57"/>
      <c r="F7" s="59">
        <v>1250</v>
      </c>
      <c r="G7" s="57" t="s">
        <v>338</v>
      </c>
      <c r="H7" s="58" t="s">
        <v>343</v>
      </c>
      <c r="I7" s="73">
        <f t="shared" si="0"/>
        <v>8250</v>
      </c>
      <c r="J7" s="57"/>
      <c r="K7" s="58"/>
    </row>
    <row r="8" spans="1:16" ht="15" customHeight="1" x14ac:dyDescent="0.25">
      <c r="A8" s="74" t="s">
        <v>348</v>
      </c>
      <c r="B8" s="62">
        <v>1043</v>
      </c>
      <c r="C8" s="63" t="s">
        <v>168</v>
      </c>
      <c r="D8" s="62" t="s">
        <v>342</v>
      </c>
      <c r="E8" s="62" t="s">
        <v>196</v>
      </c>
      <c r="F8" s="64">
        <v>2550</v>
      </c>
      <c r="G8" s="62" t="s">
        <v>189</v>
      </c>
      <c r="H8" s="63" t="s">
        <v>337</v>
      </c>
      <c r="I8" s="75">
        <f t="shared" si="0"/>
        <v>10800</v>
      </c>
      <c r="J8" s="62"/>
      <c r="K8" s="63"/>
    </row>
    <row r="9" spans="1:16" ht="15" customHeight="1" x14ac:dyDescent="0.25">
      <c r="A9" s="72">
        <v>46140</v>
      </c>
      <c r="B9" s="57">
        <v>1057</v>
      </c>
      <c r="C9" s="58" t="s">
        <v>163</v>
      </c>
      <c r="D9" s="57" t="s">
        <v>342</v>
      </c>
      <c r="E9" s="57" t="s">
        <v>197</v>
      </c>
      <c r="F9" s="59">
        <v>2110.5</v>
      </c>
      <c r="G9" s="57" t="s">
        <v>338</v>
      </c>
      <c r="H9" s="58" t="s">
        <v>337</v>
      </c>
      <c r="I9" s="73">
        <f t="shared" si="0"/>
        <v>12910.5</v>
      </c>
      <c r="J9" s="57"/>
      <c r="K9" s="58"/>
    </row>
    <row r="10" spans="1:16" ht="15" customHeight="1" x14ac:dyDescent="0.25">
      <c r="A10" s="74">
        <v>46167</v>
      </c>
      <c r="B10" s="62">
        <v>1086</v>
      </c>
      <c r="C10" s="63" t="s">
        <v>163</v>
      </c>
      <c r="D10" s="62" t="s">
        <v>342</v>
      </c>
      <c r="E10" s="62" t="s">
        <v>201</v>
      </c>
      <c r="F10" s="64">
        <v>1000</v>
      </c>
      <c r="G10" s="62" t="s">
        <v>338</v>
      </c>
      <c r="H10" s="63" t="s">
        <v>337</v>
      </c>
      <c r="I10" s="75">
        <f t="shared" si="0"/>
        <v>13910.5</v>
      </c>
      <c r="J10" s="62"/>
      <c r="K10" s="63"/>
    </row>
    <row r="11" spans="1:16" ht="15" customHeight="1" x14ac:dyDescent="0.25">
      <c r="A11" s="72">
        <v>46167</v>
      </c>
      <c r="B11" s="57">
        <v>1087</v>
      </c>
      <c r="C11" s="58" t="s">
        <v>358</v>
      </c>
      <c r="D11" s="57" t="s">
        <v>342</v>
      </c>
      <c r="E11" s="57" t="s">
        <v>201</v>
      </c>
      <c r="F11" s="59">
        <v>1000</v>
      </c>
      <c r="G11" s="57" t="s">
        <v>338</v>
      </c>
      <c r="H11" s="58" t="s">
        <v>337</v>
      </c>
      <c r="I11" s="73">
        <f t="shared" si="0"/>
        <v>14910.5</v>
      </c>
      <c r="J11" s="57"/>
      <c r="K11" s="58"/>
    </row>
    <row r="12" spans="1:16" ht="15" customHeight="1" x14ac:dyDescent="0.25">
      <c r="A12" s="74">
        <v>46168</v>
      </c>
      <c r="B12" s="62">
        <v>1090</v>
      </c>
      <c r="C12" s="63" t="s">
        <v>167</v>
      </c>
      <c r="D12" s="62" t="s">
        <v>342</v>
      </c>
      <c r="E12" s="62" t="s">
        <v>201</v>
      </c>
      <c r="F12" s="64">
        <v>1000</v>
      </c>
      <c r="G12" s="62" t="s">
        <v>189</v>
      </c>
      <c r="H12" s="63" t="s">
        <v>343</v>
      </c>
      <c r="I12" s="75">
        <f t="shared" si="0"/>
        <v>15910.5</v>
      </c>
      <c r="J12" s="62"/>
      <c r="K12" s="63"/>
    </row>
    <row r="13" spans="1:16" ht="15" customHeight="1" x14ac:dyDescent="0.25">
      <c r="A13" s="72">
        <v>46171</v>
      </c>
      <c r="B13" s="57">
        <v>1095</v>
      </c>
      <c r="C13" s="58" t="s">
        <v>164</v>
      </c>
      <c r="D13" s="57" t="s">
        <v>342</v>
      </c>
      <c r="E13" s="57" t="s">
        <v>201</v>
      </c>
      <c r="F13" s="59">
        <v>1500</v>
      </c>
      <c r="G13" s="57" t="s">
        <v>191</v>
      </c>
      <c r="H13" s="58" t="s">
        <v>337</v>
      </c>
      <c r="I13" s="73">
        <f t="shared" si="0"/>
        <v>17410.5</v>
      </c>
      <c r="J13" s="57"/>
      <c r="K13" s="58"/>
    </row>
    <row r="14" spans="1:16" ht="15" customHeight="1" x14ac:dyDescent="0.25">
      <c r="A14" s="74">
        <v>46188</v>
      </c>
      <c r="B14" s="62">
        <v>1116</v>
      </c>
      <c r="C14" s="63" t="s">
        <v>358</v>
      </c>
      <c r="D14" s="62" t="s">
        <v>342</v>
      </c>
      <c r="E14" s="62" t="s">
        <v>204</v>
      </c>
      <c r="F14" s="64">
        <v>2400</v>
      </c>
      <c r="G14" s="62" t="s">
        <v>338</v>
      </c>
      <c r="H14" s="63" t="s">
        <v>343</v>
      </c>
      <c r="I14" s="75">
        <f t="shared" si="0"/>
        <v>19810.5</v>
      </c>
      <c r="J14" s="62"/>
      <c r="K14" s="63"/>
    </row>
    <row r="15" spans="1:16" ht="15" customHeight="1" x14ac:dyDescent="0.25">
      <c r="A15" s="72">
        <v>46209</v>
      </c>
      <c r="B15" s="57">
        <v>1124</v>
      </c>
      <c r="C15" s="58" t="s">
        <v>163</v>
      </c>
      <c r="D15" s="57" t="s">
        <v>342</v>
      </c>
      <c r="E15" s="57" t="s">
        <v>207</v>
      </c>
      <c r="F15" s="59">
        <v>1989.5</v>
      </c>
      <c r="G15" s="57" t="s">
        <v>338</v>
      </c>
      <c r="H15" s="58" t="s">
        <v>343</v>
      </c>
      <c r="I15" s="73">
        <f t="shared" si="0"/>
        <v>21800</v>
      </c>
      <c r="J15" s="57"/>
      <c r="K15" s="58"/>
    </row>
    <row r="16" spans="1:16" ht="15" customHeight="1" x14ac:dyDescent="0.25">
      <c r="A16" s="74">
        <v>46241</v>
      </c>
      <c r="B16" s="62">
        <v>1132</v>
      </c>
      <c r="C16" s="63" t="s">
        <v>164</v>
      </c>
      <c r="D16" s="62" t="s">
        <v>342</v>
      </c>
      <c r="E16" s="62" t="s">
        <v>207</v>
      </c>
      <c r="F16" s="64">
        <v>922.5</v>
      </c>
      <c r="G16" s="62" t="s">
        <v>191</v>
      </c>
      <c r="H16" s="63" t="s">
        <v>337</v>
      </c>
      <c r="I16" s="75">
        <f t="shared" si="0"/>
        <v>22722.5</v>
      </c>
      <c r="J16" s="62"/>
      <c r="K16" s="63"/>
    </row>
    <row r="17" spans="1:11" ht="15" customHeight="1" x14ac:dyDescent="0.25">
      <c r="A17" s="72">
        <v>46217</v>
      </c>
      <c r="B17" s="57">
        <v>1139</v>
      </c>
      <c r="C17" s="58" t="s">
        <v>167</v>
      </c>
      <c r="D17" s="57" t="s">
        <v>342</v>
      </c>
      <c r="E17" s="57" t="s">
        <v>209</v>
      </c>
      <c r="F17" s="59">
        <v>2100</v>
      </c>
      <c r="G17" s="57" t="s">
        <v>191</v>
      </c>
      <c r="H17" s="58" t="s">
        <v>343</v>
      </c>
      <c r="I17" s="73">
        <f t="shared" si="0"/>
        <v>24822.5</v>
      </c>
      <c r="J17" s="57"/>
      <c r="K17" s="58"/>
    </row>
    <row r="18" spans="1:11" ht="15" customHeight="1" x14ac:dyDescent="0.25">
      <c r="A18" s="74"/>
      <c r="B18" s="62"/>
      <c r="C18" s="63"/>
      <c r="D18" s="62"/>
      <c r="E18" s="62"/>
      <c r="F18" s="64"/>
      <c r="G18" s="62"/>
      <c r="H18" s="63"/>
      <c r="I18" s="75" t="str">
        <f t="shared" si="0"/>
        <v/>
      </c>
      <c r="J18" s="62"/>
      <c r="K18" s="63"/>
    </row>
    <row r="19" spans="1:11" ht="15" customHeight="1" x14ac:dyDescent="0.25">
      <c r="A19" s="72"/>
      <c r="B19" s="57"/>
      <c r="C19" s="58"/>
      <c r="D19" s="57"/>
      <c r="E19" s="57"/>
      <c r="F19" s="59"/>
      <c r="G19" s="57"/>
      <c r="H19" s="58"/>
      <c r="I19" s="73" t="str">
        <f t="shared" si="0"/>
        <v/>
      </c>
      <c r="J19" s="57"/>
      <c r="K19" s="58"/>
    </row>
    <row r="20" spans="1:11" ht="15" customHeight="1" x14ac:dyDescent="0.25">
      <c r="A20" s="74"/>
      <c r="B20" s="62"/>
      <c r="C20" s="63"/>
      <c r="D20" s="62"/>
      <c r="E20" s="62"/>
      <c r="F20" s="64"/>
      <c r="G20" s="62"/>
      <c r="H20" s="63"/>
      <c r="I20" s="75" t="str">
        <f t="shared" si="0"/>
        <v/>
      </c>
      <c r="J20" s="62"/>
      <c r="K20" s="63"/>
    </row>
    <row r="21" spans="1:11" ht="15" customHeight="1" x14ac:dyDescent="0.25">
      <c r="A21" s="72"/>
      <c r="B21" s="57"/>
      <c r="C21" s="58"/>
      <c r="D21" s="57"/>
      <c r="E21" s="57"/>
      <c r="F21" s="59"/>
      <c r="G21" s="57"/>
      <c r="H21" s="58"/>
      <c r="I21" s="73" t="str">
        <f t="shared" si="0"/>
        <v/>
      </c>
      <c r="J21" s="57"/>
      <c r="K21" s="58"/>
    </row>
    <row r="22" spans="1:11" ht="15" customHeight="1" x14ac:dyDescent="0.25">
      <c r="A22" s="74"/>
      <c r="B22" s="62"/>
      <c r="C22" s="63"/>
      <c r="D22" s="62"/>
      <c r="E22" s="62"/>
      <c r="F22" s="64"/>
      <c r="G22" s="62"/>
      <c r="H22" s="63"/>
      <c r="I22" s="75" t="str">
        <f t="shared" si="0"/>
        <v/>
      </c>
      <c r="J22" s="62"/>
      <c r="K22" s="63"/>
    </row>
    <row r="23" spans="1:11" ht="15" customHeight="1" x14ac:dyDescent="0.25">
      <c r="A23" s="72"/>
      <c r="B23" s="57"/>
      <c r="C23" s="58"/>
      <c r="D23" s="57"/>
      <c r="E23" s="57"/>
      <c r="F23" s="59"/>
      <c r="G23" s="57"/>
      <c r="H23" s="58"/>
      <c r="I23" s="73" t="str">
        <f t="shared" si="0"/>
        <v/>
      </c>
      <c r="J23" s="57"/>
      <c r="K23" s="58"/>
    </row>
    <row r="24" spans="1:11" ht="15" customHeight="1" x14ac:dyDescent="0.25">
      <c r="A24" s="74"/>
      <c r="B24" s="62"/>
      <c r="C24" s="63"/>
      <c r="D24" s="62"/>
      <c r="E24" s="62"/>
      <c r="F24" s="64"/>
      <c r="G24" s="62"/>
      <c r="H24" s="63"/>
      <c r="I24" s="75" t="str">
        <f t="shared" si="0"/>
        <v/>
      </c>
      <c r="J24" s="62"/>
      <c r="K24" s="63"/>
    </row>
    <row r="25" spans="1:11" ht="15" customHeight="1" x14ac:dyDescent="0.25">
      <c r="A25" s="72"/>
      <c r="B25" s="57"/>
      <c r="C25" s="58"/>
      <c r="D25" s="57"/>
      <c r="E25" s="57"/>
      <c r="F25" s="59"/>
      <c r="G25" s="57"/>
      <c r="H25" s="58"/>
      <c r="I25" s="73" t="str">
        <f t="shared" si="0"/>
        <v/>
      </c>
      <c r="J25" s="57"/>
      <c r="K25" s="58"/>
    </row>
    <row r="26" spans="1:11" ht="15" customHeight="1" x14ac:dyDescent="0.25">
      <c r="A26" s="74"/>
      <c r="B26" s="62"/>
      <c r="C26" s="63"/>
      <c r="D26" s="62"/>
      <c r="E26" s="62"/>
      <c r="F26" s="64"/>
      <c r="G26" s="62"/>
      <c r="H26" s="63"/>
      <c r="I26" s="75" t="str">
        <f t="shared" si="0"/>
        <v/>
      </c>
      <c r="J26" s="62"/>
      <c r="K26" s="63"/>
    </row>
    <row r="27" spans="1:11" ht="15" customHeight="1" x14ac:dyDescent="0.25">
      <c r="A27" s="72"/>
      <c r="B27" s="57"/>
      <c r="C27" s="58"/>
      <c r="D27" s="57"/>
      <c r="E27" s="57"/>
      <c r="F27" s="59"/>
      <c r="G27" s="57"/>
      <c r="H27" s="58"/>
      <c r="I27" s="73" t="str">
        <f t="shared" si="0"/>
        <v/>
      </c>
      <c r="J27" s="57"/>
      <c r="K27" s="58"/>
    </row>
    <row r="28" spans="1:11" ht="15" customHeight="1" x14ac:dyDescent="0.25">
      <c r="A28" s="74"/>
      <c r="B28" s="62"/>
      <c r="C28" s="63"/>
      <c r="D28" s="62"/>
      <c r="E28" s="62"/>
      <c r="F28" s="64"/>
      <c r="G28" s="62"/>
      <c r="H28" s="63"/>
      <c r="I28" s="75" t="str">
        <f t="shared" si="0"/>
        <v/>
      </c>
      <c r="J28" s="62"/>
      <c r="K28" s="63"/>
    </row>
    <row r="29" spans="1:11" ht="15" customHeight="1" x14ac:dyDescent="0.25">
      <c r="A29" s="72"/>
      <c r="B29" s="57"/>
      <c r="C29" s="58"/>
      <c r="D29" s="57"/>
      <c r="E29" s="57"/>
      <c r="F29" s="59"/>
      <c r="G29" s="57"/>
      <c r="H29" s="58"/>
      <c r="I29" s="73" t="str">
        <f t="shared" si="0"/>
        <v/>
      </c>
      <c r="J29" s="57"/>
      <c r="K29" s="58"/>
    </row>
    <row r="30" spans="1:11" ht="15" customHeight="1" x14ac:dyDescent="0.25">
      <c r="A30" s="74"/>
      <c r="B30" s="62"/>
      <c r="C30" s="63"/>
      <c r="D30" s="62"/>
      <c r="E30" s="62"/>
      <c r="F30" s="64"/>
      <c r="G30" s="62"/>
      <c r="H30" s="63"/>
      <c r="I30" s="75" t="str">
        <f t="shared" si="0"/>
        <v/>
      </c>
      <c r="J30" s="62"/>
      <c r="K30" s="63"/>
    </row>
    <row r="31" spans="1:11" ht="15" customHeight="1" x14ac:dyDescent="0.25">
      <c r="A31" s="72"/>
      <c r="B31" s="57"/>
      <c r="C31" s="58"/>
      <c r="D31" s="57"/>
      <c r="E31" s="57"/>
      <c r="F31" s="59"/>
      <c r="G31" s="57"/>
      <c r="H31" s="58"/>
      <c r="I31" s="73" t="str">
        <f t="shared" si="0"/>
        <v/>
      </c>
      <c r="J31" s="57"/>
      <c r="K31" s="58"/>
    </row>
    <row r="32" spans="1:11" ht="15" customHeight="1" x14ac:dyDescent="0.25">
      <c r="A32" s="74"/>
      <c r="B32" s="62"/>
      <c r="C32" s="63"/>
      <c r="D32" s="62"/>
      <c r="E32" s="62"/>
      <c r="F32" s="64"/>
      <c r="G32" s="62"/>
      <c r="H32" s="63"/>
      <c r="I32" s="75" t="str">
        <f t="shared" si="0"/>
        <v/>
      </c>
      <c r="J32" s="62"/>
      <c r="K32" s="63"/>
    </row>
    <row r="33" spans="1:11" ht="15" customHeight="1" x14ac:dyDescent="0.25">
      <c r="A33" s="72"/>
      <c r="B33" s="57"/>
      <c r="C33" s="58"/>
      <c r="D33" s="57"/>
      <c r="E33" s="57"/>
      <c r="F33" s="59"/>
      <c r="G33" s="57"/>
      <c r="H33" s="58"/>
      <c r="I33" s="73" t="str">
        <f t="shared" si="0"/>
        <v/>
      </c>
      <c r="J33" s="57"/>
      <c r="K33" s="58"/>
    </row>
    <row r="34" spans="1:11" ht="15" customHeight="1" x14ac:dyDescent="0.25">
      <c r="A34" s="74"/>
      <c r="B34" s="62"/>
      <c r="C34" s="63"/>
      <c r="D34" s="62"/>
      <c r="E34" s="62"/>
      <c r="F34" s="64"/>
      <c r="G34" s="62"/>
      <c r="H34" s="63"/>
      <c r="I34" s="75" t="str">
        <f t="shared" si="0"/>
        <v/>
      </c>
      <c r="J34" s="62"/>
      <c r="K34" s="63"/>
    </row>
    <row r="35" spans="1:11" ht="15" customHeight="1" x14ac:dyDescent="0.25">
      <c r="A35" s="72"/>
      <c r="B35" s="57"/>
      <c r="C35" s="58"/>
      <c r="D35" s="57"/>
      <c r="E35" s="57"/>
      <c r="F35" s="59"/>
      <c r="G35" s="57"/>
      <c r="H35" s="58"/>
      <c r="I35" s="73" t="str">
        <f t="shared" si="0"/>
        <v/>
      </c>
      <c r="J35" s="57"/>
      <c r="K35" s="58"/>
    </row>
    <row r="36" spans="1:11" ht="15" customHeight="1" x14ac:dyDescent="0.25">
      <c r="A36" s="74"/>
      <c r="B36" s="62"/>
      <c r="C36" s="63"/>
      <c r="D36" s="62"/>
      <c r="E36" s="62"/>
      <c r="F36" s="64"/>
      <c r="G36" s="62"/>
      <c r="H36" s="63"/>
      <c r="I36" s="75" t="str">
        <f t="shared" si="0"/>
        <v/>
      </c>
      <c r="J36" s="62"/>
      <c r="K36" s="63"/>
    </row>
    <row r="37" spans="1:11" ht="15" customHeight="1" x14ac:dyDescent="0.25">
      <c r="A37" s="72"/>
      <c r="B37" s="57"/>
      <c r="C37" s="58"/>
      <c r="D37" s="57"/>
      <c r="E37" s="57"/>
      <c r="F37" s="59"/>
      <c r="G37" s="57"/>
      <c r="H37" s="58"/>
      <c r="I37" s="73" t="str">
        <f t="shared" si="0"/>
        <v/>
      </c>
      <c r="J37" s="57"/>
      <c r="K37" s="58"/>
    </row>
    <row r="38" spans="1:11" ht="15" customHeight="1" x14ac:dyDescent="0.25">
      <c r="A38" s="74"/>
      <c r="B38" s="62"/>
      <c r="C38" s="63"/>
      <c r="D38" s="62"/>
      <c r="E38" s="62"/>
      <c r="F38" s="64"/>
      <c r="G38" s="62"/>
      <c r="H38" s="63"/>
      <c r="I38" s="75" t="str">
        <f t="shared" ref="I38:I69" si="1">IF(F38="","",IF(I37="",F38,I37+F38))</f>
        <v/>
      </c>
      <c r="J38" s="62"/>
      <c r="K38" s="63"/>
    </row>
    <row r="39" spans="1:11" ht="15" customHeight="1" x14ac:dyDescent="0.25">
      <c r="A39" s="72"/>
      <c r="B39" s="57"/>
      <c r="C39" s="58"/>
      <c r="D39" s="57"/>
      <c r="E39" s="57"/>
      <c r="F39" s="59"/>
      <c r="G39" s="57"/>
      <c r="H39" s="58"/>
      <c r="I39" s="73" t="str">
        <f t="shared" si="1"/>
        <v/>
      </c>
      <c r="J39" s="57"/>
      <c r="K39" s="58"/>
    </row>
    <row r="40" spans="1:11" ht="15" customHeight="1" x14ac:dyDescent="0.25">
      <c r="A40" s="74"/>
      <c r="B40" s="62"/>
      <c r="C40" s="63"/>
      <c r="D40" s="62"/>
      <c r="E40" s="62"/>
      <c r="F40" s="64"/>
      <c r="G40" s="62"/>
      <c r="H40" s="63"/>
      <c r="I40" s="75" t="str">
        <f t="shared" si="1"/>
        <v/>
      </c>
      <c r="J40" s="62"/>
      <c r="K40" s="63"/>
    </row>
    <row r="41" spans="1:11" ht="15" customHeight="1" x14ac:dyDescent="0.25">
      <c r="A41" s="72"/>
      <c r="B41" s="57"/>
      <c r="C41" s="58"/>
      <c r="D41" s="57"/>
      <c r="E41" s="57"/>
      <c r="F41" s="59"/>
      <c r="G41" s="57"/>
      <c r="H41" s="58"/>
      <c r="I41" s="73" t="str">
        <f t="shared" si="1"/>
        <v/>
      </c>
      <c r="J41" s="57"/>
      <c r="K41" s="58"/>
    </row>
    <row r="42" spans="1:11" ht="15" customHeight="1" x14ac:dyDescent="0.25">
      <c r="A42" s="74"/>
      <c r="B42" s="62"/>
      <c r="C42" s="63"/>
      <c r="D42" s="62"/>
      <c r="E42" s="62"/>
      <c r="F42" s="64"/>
      <c r="G42" s="62"/>
      <c r="H42" s="63"/>
      <c r="I42" s="75" t="str">
        <f t="shared" si="1"/>
        <v/>
      </c>
      <c r="J42" s="62"/>
      <c r="K42" s="63"/>
    </row>
    <row r="43" spans="1:11" ht="15" customHeight="1" x14ac:dyDescent="0.25">
      <c r="A43" s="72"/>
      <c r="B43" s="57"/>
      <c r="C43" s="58"/>
      <c r="D43" s="57"/>
      <c r="E43" s="57"/>
      <c r="F43" s="59"/>
      <c r="G43" s="57"/>
      <c r="H43" s="58"/>
      <c r="I43" s="73" t="str">
        <f t="shared" si="1"/>
        <v/>
      </c>
      <c r="J43" s="57"/>
      <c r="K43" s="58"/>
    </row>
    <row r="44" spans="1:11" ht="15" customHeight="1" x14ac:dyDescent="0.25">
      <c r="A44" s="74"/>
      <c r="B44" s="62"/>
      <c r="C44" s="63"/>
      <c r="D44" s="62"/>
      <c r="E44" s="62"/>
      <c r="F44" s="64"/>
      <c r="G44" s="62"/>
      <c r="H44" s="63"/>
      <c r="I44" s="75" t="str">
        <f t="shared" si="1"/>
        <v/>
      </c>
      <c r="J44" s="62"/>
      <c r="K44" s="63"/>
    </row>
    <row r="45" spans="1:11" ht="15" customHeight="1" x14ac:dyDescent="0.25">
      <c r="A45" s="72"/>
      <c r="B45" s="57"/>
      <c r="C45" s="58"/>
      <c r="D45" s="57"/>
      <c r="E45" s="57"/>
      <c r="F45" s="59"/>
      <c r="G45" s="57"/>
      <c r="H45" s="58"/>
      <c r="I45" s="73" t="str">
        <f t="shared" si="1"/>
        <v/>
      </c>
      <c r="J45" s="57"/>
      <c r="K45" s="58"/>
    </row>
    <row r="46" spans="1:11" ht="15" customHeight="1" x14ac:dyDescent="0.25">
      <c r="A46" s="74"/>
      <c r="B46" s="62"/>
      <c r="C46" s="63"/>
      <c r="D46" s="62"/>
      <c r="E46" s="62"/>
      <c r="F46" s="64"/>
      <c r="G46" s="62"/>
      <c r="H46" s="63"/>
      <c r="I46" s="75" t="str">
        <f t="shared" si="1"/>
        <v/>
      </c>
      <c r="J46" s="62"/>
      <c r="K46" s="63"/>
    </row>
    <row r="47" spans="1:11" ht="15" customHeight="1" x14ac:dyDescent="0.25">
      <c r="A47" s="72"/>
      <c r="B47" s="57"/>
      <c r="C47" s="58"/>
      <c r="D47" s="57"/>
      <c r="E47" s="57"/>
      <c r="F47" s="59"/>
      <c r="G47" s="57"/>
      <c r="H47" s="58"/>
      <c r="I47" s="73" t="str">
        <f t="shared" si="1"/>
        <v/>
      </c>
      <c r="J47" s="57"/>
      <c r="K47" s="58"/>
    </row>
    <row r="48" spans="1:11" ht="15" customHeight="1" x14ac:dyDescent="0.25">
      <c r="A48" s="74"/>
      <c r="B48" s="62"/>
      <c r="C48" s="63"/>
      <c r="D48" s="62"/>
      <c r="E48" s="62"/>
      <c r="F48" s="64"/>
      <c r="G48" s="62"/>
      <c r="H48" s="63"/>
      <c r="I48" s="75" t="str">
        <f t="shared" si="1"/>
        <v/>
      </c>
      <c r="J48" s="62"/>
      <c r="K48" s="63"/>
    </row>
    <row r="49" spans="1:11" ht="15" customHeight="1" x14ac:dyDescent="0.25">
      <c r="A49" s="72"/>
      <c r="B49" s="57"/>
      <c r="C49" s="58"/>
      <c r="D49" s="57"/>
      <c r="E49" s="57"/>
      <c r="F49" s="59"/>
      <c r="G49" s="57"/>
      <c r="H49" s="58"/>
      <c r="I49" s="73" t="str">
        <f t="shared" si="1"/>
        <v/>
      </c>
      <c r="J49" s="57"/>
      <c r="K49" s="58"/>
    </row>
    <row r="50" spans="1:11" ht="15" customHeight="1" x14ac:dyDescent="0.25">
      <c r="A50" s="74"/>
      <c r="B50" s="62"/>
      <c r="C50" s="63"/>
      <c r="D50" s="62"/>
      <c r="E50" s="62"/>
      <c r="F50" s="64"/>
      <c r="G50" s="62"/>
      <c r="H50" s="63"/>
      <c r="I50" s="75" t="str">
        <f t="shared" si="1"/>
        <v/>
      </c>
      <c r="J50" s="62"/>
      <c r="K50" s="63"/>
    </row>
    <row r="51" spans="1:11" ht="15" customHeight="1" x14ac:dyDescent="0.25">
      <c r="A51" s="72"/>
      <c r="B51" s="57"/>
      <c r="C51" s="58"/>
      <c r="D51" s="57"/>
      <c r="E51" s="57"/>
      <c r="F51" s="59"/>
      <c r="G51" s="57"/>
      <c r="H51" s="58"/>
      <c r="I51" s="73" t="str">
        <f t="shared" si="1"/>
        <v/>
      </c>
      <c r="J51" s="57"/>
      <c r="K51" s="58"/>
    </row>
    <row r="52" spans="1:11" ht="15" customHeight="1" x14ac:dyDescent="0.25">
      <c r="A52" s="74"/>
      <c r="B52" s="62"/>
      <c r="C52" s="63"/>
      <c r="D52" s="62"/>
      <c r="E52" s="62"/>
      <c r="F52" s="64"/>
      <c r="G52" s="62"/>
      <c r="H52" s="63"/>
      <c r="I52" s="75" t="str">
        <f t="shared" si="1"/>
        <v/>
      </c>
      <c r="J52" s="62"/>
      <c r="K52" s="63"/>
    </row>
    <row r="53" spans="1:11" ht="15" customHeight="1" x14ac:dyDescent="0.25">
      <c r="A53" s="72"/>
      <c r="B53" s="57"/>
      <c r="C53" s="58"/>
      <c r="D53" s="57"/>
      <c r="E53" s="57"/>
      <c r="F53" s="59"/>
      <c r="G53" s="57"/>
      <c r="H53" s="58"/>
      <c r="I53" s="73" t="str">
        <f t="shared" si="1"/>
        <v/>
      </c>
      <c r="J53" s="57"/>
      <c r="K53" s="58"/>
    </row>
    <row r="54" spans="1:11" ht="15" customHeight="1" x14ac:dyDescent="0.25">
      <c r="A54" s="74"/>
      <c r="B54" s="62"/>
      <c r="C54" s="63"/>
      <c r="D54" s="62"/>
      <c r="E54" s="62"/>
      <c r="F54" s="64"/>
      <c r="G54" s="62"/>
      <c r="H54" s="63"/>
      <c r="I54" s="75" t="str">
        <f t="shared" si="1"/>
        <v/>
      </c>
      <c r="J54" s="62"/>
      <c r="K54" s="63"/>
    </row>
    <row r="55" spans="1:11" ht="15" customHeight="1" x14ac:dyDescent="0.25">
      <c r="A55" s="72"/>
      <c r="B55" s="57"/>
      <c r="C55" s="58"/>
      <c r="D55" s="57"/>
      <c r="E55" s="57"/>
      <c r="F55" s="59"/>
      <c r="G55" s="57"/>
      <c r="H55" s="58"/>
      <c r="I55" s="73" t="str">
        <f t="shared" si="1"/>
        <v/>
      </c>
      <c r="J55" s="57"/>
      <c r="K55" s="58"/>
    </row>
    <row r="56" spans="1:11" ht="15" customHeight="1" x14ac:dyDescent="0.25">
      <c r="A56" s="74"/>
      <c r="B56" s="62"/>
      <c r="C56" s="63"/>
      <c r="D56" s="62"/>
      <c r="E56" s="62"/>
      <c r="F56" s="64"/>
      <c r="G56" s="62"/>
      <c r="H56" s="63"/>
      <c r="I56" s="75" t="str">
        <f t="shared" si="1"/>
        <v/>
      </c>
      <c r="J56" s="62"/>
      <c r="K56" s="63"/>
    </row>
    <row r="57" spans="1:11" ht="15" customHeight="1" x14ac:dyDescent="0.25">
      <c r="A57" s="72"/>
      <c r="B57" s="57"/>
      <c r="C57" s="58"/>
      <c r="D57" s="57"/>
      <c r="E57" s="57"/>
      <c r="F57" s="59"/>
      <c r="G57" s="57"/>
      <c r="H57" s="58"/>
      <c r="I57" s="73" t="str">
        <f t="shared" si="1"/>
        <v/>
      </c>
      <c r="J57" s="57"/>
      <c r="K57" s="58"/>
    </row>
    <row r="58" spans="1:11" ht="15" customHeight="1" x14ac:dyDescent="0.25">
      <c r="A58" s="74"/>
      <c r="B58" s="62"/>
      <c r="C58" s="63"/>
      <c r="D58" s="62"/>
      <c r="E58" s="62"/>
      <c r="F58" s="64"/>
      <c r="G58" s="62"/>
      <c r="H58" s="63"/>
      <c r="I58" s="75" t="str">
        <f t="shared" si="1"/>
        <v/>
      </c>
      <c r="J58" s="62"/>
      <c r="K58" s="63"/>
    </row>
    <row r="59" spans="1:11" ht="15" customHeight="1" x14ac:dyDescent="0.25">
      <c r="A59" s="72"/>
      <c r="B59" s="57"/>
      <c r="C59" s="58"/>
      <c r="D59" s="57"/>
      <c r="E59" s="57"/>
      <c r="F59" s="59"/>
      <c r="G59" s="57"/>
      <c r="H59" s="58"/>
      <c r="I59" s="73" t="str">
        <f t="shared" si="1"/>
        <v/>
      </c>
      <c r="J59" s="57"/>
      <c r="K59" s="58"/>
    </row>
    <row r="60" spans="1:11" ht="15" customHeight="1" x14ac:dyDescent="0.25">
      <c r="A60" s="74"/>
      <c r="B60" s="62"/>
      <c r="C60" s="63"/>
      <c r="D60" s="62"/>
      <c r="E60" s="62"/>
      <c r="F60" s="64"/>
      <c r="G60" s="62"/>
      <c r="H60" s="63"/>
      <c r="I60" s="75" t="str">
        <f t="shared" si="1"/>
        <v/>
      </c>
      <c r="J60" s="62"/>
      <c r="K60" s="63"/>
    </row>
    <row r="61" spans="1:11" ht="15" customHeight="1" x14ac:dyDescent="0.25">
      <c r="A61" s="72"/>
      <c r="B61" s="57"/>
      <c r="C61" s="58"/>
      <c r="D61" s="57"/>
      <c r="E61" s="57"/>
      <c r="F61" s="59"/>
      <c r="G61" s="57"/>
      <c r="H61" s="58"/>
      <c r="I61" s="73" t="str">
        <f t="shared" si="1"/>
        <v/>
      </c>
      <c r="J61" s="57"/>
      <c r="K61" s="58"/>
    </row>
    <row r="62" spans="1:11" ht="15" customHeight="1" x14ac:dyDescent="0.25">
      <c r="A62" s="74"/>
      <c r="B62" s="62"/>
      <c r="C62" s="63"/>
      <c r="D62" s="62"/>
      <c r="E62" s="62"/>
      <c r="F62" s="64"/>
      <c r="G62" s="62"/>
      <c r="H62" s="63"/>
      <c r="I62" s="75" t="str">
        <f t="shared" si="1"/>
        <v/>
      </c>
      <c r="J62" s="62"/>
      <c r="K62" s="63"/>
    </row>
    <row r="63" spans="1:11" ht="15" customHeight="1" x14ac:dyDescent="0.25">
      <c r="A63" s="72"/>
      <c r="B63" s="57"/>
      <c r="C63" s="58"/>
      <c r="D63" s="57"/>
      <c r="E63" s="57"/>
      <c r="F63" s="59"/>
      <c r="G63" s="57"/>
      <c r="H63" s="58"/>
      <c r="I63" s="73" t="str">
        <f t="shared" si="1"/>
        <v/>
      </c>
      <c r="J63" s="57"/>
      <c r="K63" s="58"/>
    </row>
    <row r="64" spans="1:11" ht="15" customHeight="1" x14ac:dyDescent="0.25">
      <c r="A64" s="74"/>
      <c r="B64" s="62"/>
      <c r="C64" s="63"/>
      <c r="D64" s="62"/>
      <c r="E64" s="62"/>
      <c r="F64" s="64"/>
      <c r="G64" s="62"/>
      <c r="H64" s="63"/>
      <c r="I64" s="75" t="str">
        <f t="shared" si="1"/>
        <v/>
      </c>
      <c r="J64" s="62"/>
      <c r="K64" s="63"/>
    </row>
    <row r="65" spans="1:11" ht="15" customHeight="1" x14ac:dyDescent="0.25">
      <c r="A65" s="72"/>
      <c r="B65" s="57"/>
      <c r="C65" s="58"/>
      <c r="D65" s="57"/>
      <c r="E65" s="57"/>
      <c r="F65" s="59"/>
      <c r="G65" s="57"/>
      <c r="H65" s="58"/>
      <c r="I65" s="73" t="str">
        <f t="shared" si="1"/>
        <v/>
      </c>
      <c r="J65" s="57"/>
      <c r="K65" s="58"/>
    </row>
    <row r="66" spans="1:11" ht="15" customHeight="1" x14ac:dyDescent="0.25">
      <c r="A66" s="74"/>
      <c r="B66" s="62"/>
      <c r="C66" s="63"/>
      <c r="D66" s="62"/>
      <c r="E66" s="62"/>
      <c r="F66" s="64"/>
      <c r="G66" s="62"/>
      <c r="H66" s="63"/>
      <c r="I66" s="75" t="str">
        <f t="shared" si="1"/>
        <v/>
      </c>
      <c r="J66" s="62"/>
      <c r="K66" s="63"/>
    </row>
    <row r="67" spans="1:11" ht="15" customHeight="1" x14ac:dyDescent="0.25">
      <c r="A67" s="72"/>
      <c r="B67" s="57"/>
      <c r="C67" s="58"/>
      <c r="D67" s="57"/>
      <c r="E67" s="57"/>
      <c r="F67" s="59"/>
      <c r="G67" s="57"/>
      <c r="H67" s="58"/>
      <c r="I67" s="73" t="str">
        <f t="shared" si="1"/>
        <v/>
      </c>
      <c r="J67" s="57"/>
      <c r="K67" s="58"/>
    </row>
    <row r="68" spans="1:11" ht="15" customHeight="1" x14ac:dyDescent="0.25">
      <c r="A68" s="74"/>
      <c r="B68" s="62"/>
      <c r="C68" s="63"/>
      <c r="D68" s="62"/>
      <c r="E68" s="62"/>
      <c r="F68" s="64"/>
      <c r="G68" s="62"/>
      <c r="H68" s="63"/>
      <c r="I68" s="75" t="str">
        <f t="shared" si="1"/>
        <v/>
      </c>
      <c r="J68" s="62"/>
      <c r="K68" s="63"/>
    </row>
    <row r="69" spans="1:11" ht="15" customHeight="1" x14ac:dyDescent="0.25">
      <c r="A69" s="72"/>
      <c r="B69" s="57"/>
      <c r="C69" s="58"/>
      <c r="D69" s="57"/>
      <c r="E69" s="57"/>
      <c r="F69" s="59"/>
      <c r="G69" s="57"/>
      <c r="H69" s="58"/>
      <c r="I69" s="73" t="str">
        <f t="shared" si="1"/>
        <v/>
      </c>
      <c r="J69" s="57"/>
      <c r="K69" s="58"/>
    </row>
    <row r="70" spans="1:11" ht="15" customHeight="1" x14ac:dyDescent="0.25">
      <c r="A70" s="74"/>
      <c r="B70" s="62"/>
      <c r="C70" s="63"/>
      <c r="D70" s="62"/>
      <c r="E70" s="62"/>
      <c r="F70" s="64"/>
      <c r="G70" s="62"/>
      <c r="H70" s="63"/>
      <c r="I70" s="75" t="str">
        <f t="shared" ref="I70:I101" si="2">IF(F70="","",IF(I69="",F70,I69+F70))</f>
        <v/>
      </c>
      <c r="J70" s="62"/>
      <c r="K70" s="63"/>
    </row>
    <row r="71" spans="1:11" ht="15" customHeight="1" x14ac:dyDescent="0.25">
      <c r="A71" s="72"/>
      <c r="B71" s="57"/>
      <c r="C71" s="58"/>
      <c r="D71" s="57"/>
      <c r="E71" s="57"/>
      <c r="F71" s="59"/>
      <c r="G71" s="57"/>
      <c r="H71" s="58"/>
      <c r="I71" s="73" t="str">
        <f t="shared" si="2"/>
        <v/>
      </c>
      <c r="J71" s="57"/>
      <c r="K71" s="58"/>
    </row>
    <row r="72" spans="1:11" ht="15" customHeight="1" x14ac:dyDescent="0.25">
      <c r="A72" s="74"/>
      <c r="B72" s="62"/>
      <c r="C72" s="63"/>
      <c r="D72" s="62"/>
      <c r="E72" s="62"/>
      <c r="F72" s="64"/>
      <c r="G72" s="62"/>
      <c r="H72" s="63"/>
      <c r="I72" s="75" t="str">
        <f t="shared" si="2"/>
        <v/>
      </c>
      <c r="J72" s="62"/>
      <c r="K72" s="63"/>
    </row>
    <row r="73" spans="1:11" ht="15" customHeight="1" x14ac:dyDescent="0.25">
      <c r="A73" s="72"/>
      <c r="B73" s="57"/>
      <c r="C73" s="58"/>
      <c r="D73" s="57"/>
      <c r="E73" s="57"/>
      <c r="F73" s="59"/>
      <c r="G73" s="57"/>
      <c r="H73" s="58"/>
      <c r="I73" s="73" t="str">
        <f t="shared" si="2"/>
        <v/>
      </c>
      <c r="J73" s="57"/>
      <c r="K73" s="58"/>
    </row>
    <row r="74" spans="1:11" ht="15" customHeight="1" x14ac:dyDescent="0.25">
      <c r="A74" s="74"/>
      <c r="B74" s="62"/>
      <c r="C74" s="63"/>
      <c r="D74" s="62"/>
      <c r="E74" s="62"/>
      <c r="F74" s="64"/>
      <c r="G74" s="62"/>
      <c r="H74" s="63"/>
      <c r="I74" s="75" t="str">
        <f t="shared" si="2"/>
        <v/>
      </c>
      <c r="J74" s="62"/>
      <c r="K74" s="63"/>
    </row>
    <row r="75" spans="1:11" ht="15" customHeight="1" x14ac:dyDescent="0.25">
      <c r="A75" s="72"/>
      <c r="B75" s="57"/>
      <c r="C75" s="58"/>
      <c r="D75" s="57"/>
      <c r="E75" s="57"/>
      <c r="F75" s="59"/>
      <c r="G75" s="57"/>
      <c r="H75" s="58"/>
      <c r="I75" s="73" t="str">
        <f t="shared" si="2"/>
        <v/>
      </c>
      <c r="J75" s="57"/>
      <c r="K75" s="58"/>
    </row>
    <row r="76" spans="1:11" ht="15" customHeight="1" x14ac:dyDescent="0.25">
      <c r="A76" s="74"/>
      <c r="B76" s="62"/>
      <c r="C76" s="63"/>
      <c r="D76" s="62"/>
      <c r="E76" s="62"/>
      <c r="F76" s="64"/>
      <c r="G76" s="62"/>
      <c r="H76" s="63"/>
      <c r="I76" s="75" t="str">
        <f t="shared" si="2"/>
        <v/>
      </c>
      <c r="J76" s="62"/>
      <c r="K76" s="63"/>
    </row>
    <row r="77" spans="1:11" ht="15" customHeight="1" x14ac:dyDescent="0.25">
      <c r="A77" s="72"/>
      <c r="B77" s="57"/>
      <c r="C77" s="58"/>
      <c r="D77" s="57"/>
      <c r="E77" s="57"/>
      <c r="F77" s="59"/>
      <c r="G77" s="57"/>
      <c r="H77" s="58"/>
      <c r="I77" s="73" t="str">
        <f t="shared" si="2"/>
        <v/>
      </c>
      <c r="J77" s="57"/>
      <c r="K77" s="58"/>
    </row>
    <row r="78" spans="1:11" ht="15" customHeight="1" x14ac:dyDescent="0.25">
      <c r="A78" s="74"/>
      <c r="B78" s="62"/>
      <c r="C78" s="63"/>
      <c r="D78" s="62"/>
      <c r="E78" s="62"/>
      <c r="F78" s="64"/>
      <c r="G78" s="62"/>
      <c r="H78" s="63"/>
      <c r="I78" s="75" t="str">
        <f t="shared" si="2"/>
        <v/>
      </c>
      <c r="J78" s="62"/>
      <c r="K78" s="63"/>
    </row>
    <row r="79" spans="1:11" ht="15" customHeight="1" x14ac:dyDescent="0.25">
      <c r="A79" s="72"/>
      <c r="B79" s="57"/>
      <c r="C79" s="58"/>
      <c r="D79" s="57"/>
      <c r="E79" s="57"/>
      <c r="F79" s="59"/>
      <c r="G79" s="57"/>
      <c r="H79" s="58"/>
      <c r="I79" s="73" t="str">
        <f t="shared" si="2"/>
        <v/>
      </c>
      <c r="J79" s="57"/>
      <c r="K79" s="58"/>
    </row>
    <row r="80" spans="1:11" ht="15" customHeight="1" x14ac:dyDescent="0.25">
      <c r="A80" s="74"/>
      <c r="B80" s="62"/>
      <c r="C80" s="63"/>
      <c r="D80" s="62"/>
      <c r="E80" s="62"/>
      <c r="F80" s="64"/>
      <c r="G80" s="62"/>
      <c r="H80" s="63"/>
      <c r="I80" s="75" t="str">
        <f t="shared" si="2"/>
        <v/>
      </c>
      <c r="J80" s="62"/>
      <c r="K80" s="63"/>
    </row>
    <row r="81" spans="1:11" ht="15" customHeight="1" x14ac:dyDescent="0.25">
      <c r="A81" s="72"/>
      <c r="B81" s="57"/>
      <c r="C81" s="58"/>
      <c r="D81" s="57"/>
      <c r="E81" s="57"/>
      <c r="F81" s="59"/>
      <c r="G81" s="57"/>
      <c r="H81" s="58"/>
      <c r="I81" s="73" t="str">
        <f t="shared" si="2"/>
        <v/>
      </c>
      <c r="J81" s="57"/>
      <c r="K81" s="58"/>
    </row>
    <row r="82" spans="1:11" ht="15" customHeight="1" x14ac:dyDescent="0.25">
      <c r="A82" s="74"/>
      <c r="B82" s="62"/>
      <c r="C82" s="63"/>
      <c r="D82" s="62"/>
      <c r="E82" s="62"/>
      <c r="F82" s="64"/>
      <c r="G82" s="62"/>
      <c r="H82" s="63"/>
      <c r="I82" s="75" t="str">
        <f t="shared" si="2"/>
        <v/>
      </c>
      <c r="J82" s="62"/>
      <c r="K82" s="63"/>
    </row>
    <row r="83" spans="1:11" ht="15" customHeight="1" x14ac:dyDescent="0.25">
      <c r="A83" s="72"/>
      <c r="B83" s="57"/>
      <c r="C83" s="58"/>
      <c r="D83" s="57"/>
      <c r="E83" s="57"/>
      <c r="F83" s="59"/>
      <c r="G83" s="57"/>
      <c r="H83" s="58"/>
      <c r="I83" s="73" t="str">
        <f t="shared" si="2"/>
        <v/>
      </c>
      <c r="J83" s="57"/>
      <c r="K83" s="58"/>
    </row>
    <row r="84" spans="1:11" ht="15" customHeight="1" x14ac:dyDescent="0.25">
      <c r="A84" s="74"/>
      <c r="B84" s="62"/>
      <c r="C84" s="63"/>
      <c r="D84" s="62"/>
      <c r="E84" s="62"/>
      <c r="F84" s="64"/>
      <c r="G84" s="62"/>
      <c r="H84" s="63"/>
      <c r="I84" s="75" t="str">
        <f t="shared" si="2"/>
        <v/>
      </c>
      <c r="J84" s="62"/>
      <c r="K84" s="63"/>
    </row>
    <row r="85" spans="1:11" ht="15" customHeight="1" x14ac:dyDescent="0.25">
      <c r="A85" s="72"/>
      <c r="B85" s="57"/>
      <c r="C85" s="58"/>
      <c r="D85" s="57"/>
      <c r="E85" s="57"/>
      <c r="F85" s="59"/>
      <c r="G85" s="57"/>
      <c r="H85" s="58"/>
      <c r="I85" s="73" t="str">
        <f t="shared" si="2"/>
        <v/>
      </c>
      <c r="J85" s="57"/>
      <c r="K85" s="58"/>
    </row>
    <row r="86" spans="1:11" ht="15" customHeight="1" x14ac:dyDescent="0.25">
      <c r="A86" s="74"/>
      <c r="B86" s="62"/>
      <c r="C86" s="63"/>
      <c r="D86" s="62"/>
      <c r="E86" s="62"/>
      <c r="F86" s="64"/>
      <c r="G86" s="62"/>
      <c r="H86" s="63"/>
      <c r="I86" s="75" t="str">
        <f t="shared" si="2"/>
        <v/>
      </c>
      <c r="J86" s="62"/>
      <c r="K86" s="63"/>
    </row>
    <row r="87" spans="1:11" ht="15" customHeight="1" x14ac:dyDescent="0.25">
      <c r="A87" s="72"/>
      <c r="B87" s="57"/>
      <c r="C87" s="58"/>
      <c r="D87" s="57"/>
      <c r="E87" s="57"/>
      <c r="F87" s="59"/>
      <c r="G87" s="57"/>
      <c r="H87" s="58"/>
      <c r="I87" s="73" t="str">
        <f t="shared" si="2"/>
        <v/>
      </c>
      <c r="J87" s="57"/>
      <c r="K87" s="58"/>
    </row>
    <row r="88" spans="1:11" ht="15" customHeight="1" x14ac:dyDescent="0.25">
      <c r="A88" s="74"/>
      <c r="B88" s="62"/>
      <c r="C88" s="63"/>
      <c r="D88" s="62"/>
      <c r="E88" s="62"/>
      <c r="F88" s="64"/>
      <c r="G88" s="62"/>
      <c r="H88" s="63"/>
      <c r="I88" s="75" t="str">
        <f t="shared" si="2"/>
        <v/>
      </c>
      <c r="J88" s="62"/>
      <c r="K88" s="63"/>
    </row>
    <row r="89" spans="1:11" ht="15" customHeight="1" x14ac:dyDescent="0.25">
      <c r="A89" s="72"/>
      <c r="B89" s="57"/>
      <c r="C89" s="58"/>
      <c r="D89" s="57"/>
      <c r="E89" s="57"/>
      <c r="F89" s="59"/>
      <c r="G89" s="57"/>
      <c r="H89" s="58"/>
      <c r="I89" s="73" t="str">
        <f t="shared" si="2"/>
        <v/>
      </c>
      <c r="J89" s="57"/>
      <c r="K89" s="58"/>
    </row>
    <row r="90" spans="1:11" ht="15" customHeight="1" x14ac:dyDescent="0.25">
      <c r="A90" s="74"/>
      <c r="B90" s="62"/>
      <c r="C90" s="63"/>
      <c r="D90" s="62"/>
      <c r="E90" s="62"/>
      <c r="F90" s="64"/>
      <c r="G90" s="62"/>
      <c r="H90" s="63"/>
      <c r="I90" s="75" t="str">
        <f t="shared" si="2"/>
        <v/>
      </c>
      <c r="J90" s="62"/>
      <c r="K90" s="63"/>
    </row>
    <row r="91" spans="1:11" ht="15" customHeight="1" x14ac:dyDescent="0.25">
      <c r="A91" s="72"/>
      <c r="B91" s="57"/>
      <c r="C91" s="58"/>
      <c r="D91" s="57"/>
      <c r="E91" s="57"/>
      <c r="F91" s="59"/>
      <c r="G91" s="57"/>
      <c r="H91" s="58"/>
      <c r="I91" s="73" t="str">
        <f t="shared" si="2"/>
        <v/>
      </c>
      <c r="J91" s="57"/>
      <c r="K91" s="58"/>
    </row>
    <row r="92" spans="1:11" ht="15" customHeight="1" x14ac:dyDescent="0.25">
      <c r="A92" s="74"/>
      <c r="B92" s="62"/>
      <c r="C92" s="63"/>
      <c r="D92" s="62"/>
      <c r="E92" s="62"/>
      <c r="F92" s="64"/>
      <c r="G92" s="62"/>
      <c r="H92" s="63"/>
      <c r="I92" s="75" t="str">
        <f t="shared" si="2"/>
        <v/>
      </c>
      <c r="J92" s="62"/>
      <c r="K92" s="63"/>
    </row>
    <row r="93" spans="1:11" ht="15" customHeight="1" x14ac:dyDescent="0.25">
      <c r="A93" s="72"/>
      <c r="B93" s="57"/>
      <c r="C93" s="58"/>
      <c r="D93" s="57"/>
      <c r="E93" s="57"/>
      <c r="F93" s="59"/>
      <c r="G93" s="57"/>
      <c r="H93" s="58"/>
      <c r="I93" s="73" t="str">
        <f t="shared" si="2"/>
        <v/>
      </c>
      <c r="J93" s="57"/>
      <c r="K93" s="58"/>
    </row>
    <row r="94" spans="1:11" ht="15" customHeight="1" x14ac:dyDescent="0.25">
      <c r="A94" s="74"/>
      <c r="B94" s="62"/>
      <c r="C94" s="63"/>
      <c r="D94" s="62"/>
      <c r="E94" s="62"/>
      <c r="F94" s="64"/>
      <c r="G94" s="62"/>
      <c r="H94" s="63"/>
      <c r="I94" s="75" t="str">
        <f t="shared" si="2"/>
        <v/>
      </c>
      <c r="J94" s="62"/>
      <c r="K94" s="63"/>
    </row>
    <row r="95" spans="1:11" ht="15" customHeight="1" x14ac:dyDescent="0.25">
      <c r="A95" s="72"/>
      <c r="B95" s="57"/>
      <c r="C95" s="58"/>
      <c r="D95" s="57"/>
      <c r="E95" s="57"/>
      <c r="F95" s="59"/>
      <c r="G95" s="57"/>
      <c r="H95" s="58"/>
      <c r="I95" s="73" t="str">
        <f t="shared" si="2"/>
        <v/>
      </c>
      <c r="J95" s="57"/>
      <c r="K95" s="58"/>
    </row>
    <row r="96" spans="1:11" ht="15" customHeight="1" x14ac:dyDescent="0.25">
      <c r="A96" s="74"/>
      <c r="B96" s="62"/>
      <c r="C96" s="63"/>
      <c r="D96" s="62"/>
      <c r="E96" s="62"/>
      <c r="F96" s="64"/>
      <c r="G96" s="62"/>
      <c r="H96" s="63"/>
      <c r="I96" s="75" t="str">
        <f t="shared" si="2"/>
        <v/>
      </c>
      <c r="J96" s="62"/>
      <c r="K96" s="63"/>
    </row>
    <row r="97" spans="1:11" ht="15" customHeight="1" x14ac:dyDescent="0.25">
      <c r="A97" s="72"/>
      <c r="B97" s="57"/>
      <c r="C97" s="58"/>
      <c r="D97" s="57"/>
      <c r="E97" s="57"/>
      <c r="F97" s="59"/>
      <c r="G97" s="57"/>
      <c r="H97" s="58"/>
      <c r="I97" s="73" t="str">
        <f t="shared" si="2"/>
        <v/>
      </c>
      <c r="J97" s="57"/>
      <c r="K97" s="58"/>
    </row>
    <row r="98" spans="1:11" ht="15" customHeight="1" x14ac:dyDescent="0.25">
      <c r="A98" s="74"/>
      <c r="B98" s="62"/>
      <c r="C98" s="63"/>
      <c r="D98" s="62"/>
      <c r="E98" s="62"/>
      <c r="F98" s="64"/>
      <c r="G98" s="62"/>
      <c r="H98" s="63"/>
      <c r="I98" s="75" t="str">
        <f t="shared" si="2"/>
        <v/>
      </c>
      <c r="J98" s="62"/>
      <c r="K98" s="63"/>
    </row>
    <row r="99" spans="1:11" ht="15" customHeight="1" x14ac:dyDescent="0.25">
      <c r="A99" s="72"/>
      <c r="B99" s="57"/>
      <c r="C99" s="58"/>
      <c r="D99" s="57"/>
      <c r="E99" s="57"/>
      <c r="F99" s="59"/>
      <c r="G99" s="57"/>
      <c r="H99" s="58"/>
      <c r="I99" s="73" t="str">
        <f t="shared" si="2"/>
        <v/>
      </c>
      <c r="J99" s="57"/>
      <c r="K99" s="58"/>
    </row>
    <row r="100" spans="1:11" ht="15" customHeight="1" x14ac:dyDescent="0.25">
      <c r="A100" s="74"/>
      <c r="B100" s="62"/>
      <c r="C100" s="63"/>
      <c r="D100" s="62"/>
      <c r="E100" s="62"/>
      <c r="F100" s="64"/>
      <c r="G100" s="62"/>
      <c r="H100" s="63"/>
      <c r="I100" s="75" t="str">
        <f t="shared" si="2"/>
        <v/>
      </c>
      <c r="J100" s="62"/>
      <c r="K100" s="63"/>
    </row>
    <row r="101" spans="1:11" ht="15" customHeight="1" x14ac:dyDescent="0.25">
      <c r="A101" s="72"/>
      <c r="B101" s="57"/>
      <c r="C101" s="58"/>
      <c r="D101" s="57"/>
      <c r="E101" s="57"/>
      <c r="F101" s="59"/>
      <c r="G101" s="57"/>
      <c r="H101" s="58"/>
      <c r="I101" s="73" t="str">
        <f t="shared" si="2"/>
        <v/>
      </c>
      <c r="J101" s="57"/>
      <c r="K101" s="58"/>
    </row>
    <row r="102" spans="1:11" ht="15" customHeight="1" x14ac:dyDescent="0.25">
      <c r="A102" s="74"/>
      <c r="B102" s="62"/>
      <c r="C102" s="63"/>
      <c r="D102" s="62"/>
      <c r="E102" s="62"/>
      <c r="F102" s="64"/>
      <c r="G102" s="62"/>
      <c r="H102" s="63"/>
      <c r="I102" s="75" t="str">
        <f t="shared" ref="I102:I133" si="3">IF(F102="","",IF(I101="",F102,I101+F102))</f>
        <v/>
      </c>
      <c r="J102" s="62"/>
      <c r="K102" s="63"/>
    </row>
    <row r="103" spans="1:11" ht="15" customHeight="1" x14ac:dyDescent="0.25">
      <c r="A103" s="72"/>
      <c r="B103" s="57"/>
      <c r="C103" s="58"/>
      <c r="D103" s="57"/>
      <c r="E103" s="57"/>
      <c r="F103" s="59"/>
      <c r="G103" s="57"/>
      <c r="H103" s="58"/>
      <c r="I103" s="73" t="str">
        <f t="shared" si="3"/>
        <v/>
      </c>
      <c r="J103" s="57"/>
      <c r="K103" s="58"/>
    </row>
    <row r="104" spans="1:11" ht="15" customHeight="1" x14ac:dyDescent="0.25">
      <c r="A104" s="74"/>
      <c r="B104" s="62"/>
      <c r="C104" s="63"/>
      <c r="D104" s="62"/>
      <c r="E104" s="62"/>
      <c r="F104" s="64"/>
      <c r="G104" s="62"/>
      <c r="H104" s="63"/>
      <c r="I104" s="75" t="str">
        <f t="shared" si="3"/>
        <v/>
      </c>
      <c r="J104" s="62"/>
      <c r="K104" s="63"/>
    </row>
    <row r="105" spans="1:11" ht="15" customHeight="1" x14ac:dyDescent="0.25">
      <c r="A105" s="72"/>
      <c r="B105" s="57"/>
      <c r="C105" s="58"/>
      <c r="D105" s="57"/>
      <c r="E105" s="57"/>
      <c r="F105" s="59"/>
      <c r="G105" s="57"/>
      <c r="H105" s="58"/>
      <c r="I105" s="73" t="str">
        <f t="shared" si="3"/>
        <v/>
      </c>
      <c r="J105" s="57"/>
      <c r="K105" s="58"/>
    </row>
    <row r="106" spans="1:11" ht="15" customHeight="1" x14ac:dyDescent="0.25">
      <c r="A106" s="74"/>
      <c r="B106" s="62"/>
      <c r="C106" s="63"/>
      <c r="D106" s="62"/>
      <c r="E106" s="62"/>
      <c r="F106" s="64"/>
      <c r="G106" s="62"/>
      <c r="H106" s="63"/>
      <c r="I106" s="75" t="str">
        <f t="shared" si="3"/>
        <v/>
      </c>
      <c r="J106" s="62"/>
      <c r="K106" s="63"/>
    </row>
    <row r="107" spans="1:11" ht="15" customHeight="1" x14ac:dyDescent="0.25">
      <c r="A107" s="72"/>
      <c r="B107" s="57"/>
      <c r="C107" s="58"/>
      <c r="D107" s="57"/>
      <c r="E107" s="57"/>
      <c r="F107" s="59"/>
      <c r="G107" s="57"/>
      <c r="H107" s="58"/>
      <c r="I107" s="73" t="str">
        <f t="shared" si="3"/>
        <v/>
      </c>
      <c r="J107" s="57"/>
      <c r="K107" s="58"/>
    </row>
    <row r="108" spans="1:11" ht="15" customHeight="1" x14ac:dyDescent="0.25">
      <c r="A108" s="74"/>
      <c r="B108" s="62"/>
      <c r="C108" s="63"/>
      <c r="D108" s="62"/>
      <c r="E108" s="62"/>
      <c r="F108" s="64"/>
      <c r="G108" s="62"/>
      <c r="H108" s="63"/>
      <c r="I108" s="75" t="str">
        <f t="shared" si="3"/>
        <v/>
      </c>
      <c r="J108" s="62"/>
      <c r="K108" s="63"/>
    </row>
    <row r="109" spans="1:11" ht="15" customHeight="1" x14ac:dyDescent="0.25">
      <c r="A109" s="72"/>
      <c r="B109" s="57"/>
      <c r="C109" s="58"/>
      <c r="D109" s="57"/>
      <c r="E109" s="57"/>
      <c r="F109" s="59"/>
      <c r="G109" s="57"/>
      <c r="H109" s="58"/>
      <c r="I109" s="73" t="str">
        <f t="shared" si="3"/>
        <v/>
      </c>
      <c r="J109" s="57"/>
      <c r="K109" s="58"/>
    </row>
    <row r="110" spans="1:11" ht="15" customHeight="1" x14ac:dyDescent="0.25">
      <c r="A110" s="74"/>
      <c r="B110" s="62"/>
      <c r="C110" s="63"/>
      <c r="D110" s="62"/>
      <c r="E110" s="62"/>
      <c r="F110" s="64"/>
      <c r="G110" s="62"/>
      <c r="H110" s="63"/>
      <c r="I110" s="75" t="str">
        <f t="shared" si="3"/>
        <v/>
      </c>
      <c r="J110" s="62"/>
      <c r="K110" s="63"/>
    </row>
    <row r="111" spans="1:11" ht="15" customHeight="1" x14ac:dyDescent="0.25">
      <c r="A111" s="72"/>
      <c r="B111" s="57"/>
      <c r="C111" s="58"/>
      <c r="D111" s="57"/>
      <c r="E111" s="57"/>
      <c r="F111" s="59"/>
      <c r="G111" s="57"/>
      <c r="H111" s="58"/>
      <c r="I111" s="73" t="str">
        <f t="shared" si="3"/>
        <v/>
      </c>
      <c r="J111" s="57"/>
      <c r="K111" s="58"/>
    </row>
    <row r="112" spans="1:11" ht="15" customHeight="1" x14ac:dyDescent="0.25">
      <c r="A112" s="74"/>
      <c r="B112" s="62"/>
      <c r="C112" s="63"/>
      <c r="D112" s="62"/>
      <c r="E112" s="62"/>
      <c r="F112" s="64"/>
      <c r="G112" s="62"/>
      <c r="H112" s="63"/>
      <c r="I112" s="75" t="str">
        <f t="shared" si="3"/>
        <v/>
      </c>
      <c r="J112" s="62"/>
      <c r="K112" s="63"/>
    </row>
    <row r="113" spans="1:11" ht="15" customHeight="1" x14ac:dyDescent="0.25">
      <c r="A113" s="72"/>
      <c r="B113" s="57"/>
      <c r="C113" s="58"/>
      <c r="D113" s="57"/>
      <c r="E113" s="57"/>
      <c r="F113" s="59"/>
      <c r="G113" s="57"/>
      <c r="H113" s="58"/>
      <c r="I113" s="73" t="str">
        <f t="shared" si="3"/>
        <v/>
      </c>
      <c r="J113" s="57"/>
      <c r="K113" s="58"/>
    </row>
    <row r="114" spans="1:11" ht="15" customHeight="1" x14ac:dyDescent="0.25">
      <c r="A114" s="74"/>
      <c r="B114" s="62"/>
      <c r="C114" s="63"/>
      <c r="D114" s="62"/>
      <c r="E114" s="62"/>
      <c r="F114" s="64"/>
      <c r="G114" s="62"/>
      <c r="H114" s="63"/>
      <c r="I114" s="75" t="str">
        <f t="shared" si="3"/>
        <v/>
      </c>
      <c r="J114" s="62"/>
      <c r="K114" s="63"/>
    </row>
    <row r="115" spans="1:11" ht="15" customHeight="1" x14ac:dyDescent="0.25">
      <c r="A115" s="72"/>
      <c r="B115" s="57"/>
      <c r="C115" s="58"/>
      <c r="D115" s="57"/>
      <c r="E115" s="57"/>
      <c r="F115" s="59"/>
      <c r="G115" s="57"/>
      <c r="H115" s="58"/>
      <c r="I115" s="73" t="str">
        <f t="shared" si="3"/>
        <v/>
      </c>
      <c r="J115" s="57"/>
      <c r="K115" s="58"/>
    </row>
    <row r="116" spans="1:11" ht="15" customHeight="1" x14ac:dyDescent="0.25">
      <c r="A116" s="74"/>
      <c r="B116" s="62"/>
      <c r="C116" s="63"/>
      <c r="D116" s="62"/>
      <c r="E116" s="62"/>
      <c r="F116" s="64"/>
      <c r="G116" s="62"/>
      <c r="H116" s="63"/>
      <c r="I116" s="75" t="str">
        <f t="shared" si="3"/>
        <v/>
      </c>
      <c r="J116" s="62"/>
      <c r="K116" s="63"/>
    </row>
    <row r="117" spans="1:11" ht="15" customHeight="1" x14ac:dyDescent="0.25">
      <c r="A117" s="72"/>
      <c r="B117" s="57"/>
      <c r="C117" s="58"/>
      <c r="D117" s="57"/>
      <c r="E117" s="57"/>
      <c r="F117" s="59"/>
      <c r="G117" s="57"/>
      <c r="H117" s="58"/>
      <c r="I117" s="73" t="str">
        <f t="shared" si="3"/>
        <v/>
      </c>
      <c r="J117" s="57"/>
      <c r="K117" s="58"/>
    </row>
    <row r="118" spans="1:11" ht="15" customHeight="1" x14ac:dyDescent="0.25">
      <c r="A118" s="74"/>
      <c r="B118" s="62"/>
      <c r="C118" s="63"/>
      <c r="D118" s="62"/>
      <c r="E118" s="62"/>
      <c r="F118" s="64"/>
      <c r="G118" s="62"/>
      <c r="H118" s="63"/>
      <c r="I118" s="75" t="str">
        <f t="shared" si="3"/>
        <v/>
      </c>
      <c r="J118" s="62"/>
      <c r="K118" s="63"/>
    </row>
    <row r="119" spans="1:11" ht="15" customHeight="1" x14ac:dyDescent="0.25">
      <c r="A119" s="72"/>
      <c r="B119" s="57"/>
      <c r="C119" s="58"/>
      <c r="D119" s="57"/>
      <c r="E119" s="57"/>
      <c r="F119" s="59"/>
      <c r="G119" s="57"/>
      <c r="H119" s="58"/>
      <c r="I119" s="73" t="str">
        <f t="shared" si="3"/>
        <v/>
      </c>
      <c r="J119" s="57"/>
      <c r="K119" s="58"/>
    </row>
    <row r="120" spans="1:11" ht="15" customHeight="1" x14ac:dyDescent="0.25">
      <c r="A120" s="74"/>
      <c r="B120" s="62"/>
      <c r="C120" s="63"/>
      <c r="D120" s="62"/>
      <c r="E120" s="62"/>
      <c r="F120" s="64"/>
      <c r="G120" s="62"/>
      <c r="H120" s="63"/>
      <c r="I120" s="75" t="str">
        <f t="shared" si="3"/>
        <v/>
      </c>
      <c r="J120" s="62"/>
      <c r="K120" s="63"/>
    </row>
    <row r="121" spans="1:11" ht="15" customHeight="1" x14ac:dyDescent="0.25">
      <c r="A121" s="72"/>
      <c r="B121" s="57"/>
      <c r="C121" s="58"/>
      <c r="D121" s="57"/>
      <c r="E121" s="57"/>
      <c r="F121" s="59"/>
      <c r="G121" s="57"/>
      <c r="H121" s="58"/>
      <c r="I121" s="73" t="str">
        <f t="shared" si="3"/>
        <v/>
      </c>
      <c r="J121" s="57"/>
      <c r="K121" s="58"/>
    </row>
    <row r="122" spans="1:11" ht="15" customHeight="1" x14ac:dyDescent="0.25">
      <c r="A122" s="74"/>
      <c r="B122" s="62"/>
      <c r="C122" s="63"/>
      <c r="D122" s="62"/>
      <c r="E122" s="62"/>
      <c r="F122" s="64"/>
      <c r="G122" s="62"/>
      <c r="H122" s="63"/>
      <c r="I122" s="75" t="str">
        <f t="shared" si="3"/>
        <v/>
      </c>
      <c r="J122" s="62"/>
      <c r="K122" s="63"/>
    </row>
    <row r="123" spans="1:11" ht="15" customHeight="1" x14ac:dyDescent="0.25">
      <c r="A123" s="72"/>
      <c r="B123" s="57"/>
      <c r="C123" s="58"/>
      <c r="D123" s="57"/>
      <c r="E123" s="57"/>
      <c r="F123" s="59"/>
      <c r="G123" s="57"/>
      <c r="H123" s="58"/>
      <c r="I123" s="73" t="str">
        <f t="shared" si="3"/>
        <v/>
      </c>
      <c r="J123" s="57"/>
      <c r="K123" s="58"/>
    </row>
    <row r="124" spans="1:11" ht="15" customHeight="1" x14ac:dyDescent="0.25">
      <c r="A124" s="74"/>
      <c r="B124" s="62"/>
      <c r="C124" s="63"/>
      <c r="D124" s="62"/>
      <c r="E124" s="62"/>
      <c r="F124" s="64"/>
      <c r="G124" s="62"/>
      <c r="H124" s="63"/>
      <c r="I124" s="75" t="str">
        <f t="shared" si="3"/>
        <v/>
      </c>
      <c r="J124" s="62"/>
      <c r="K124" s="63"/>
    </row>
    <row r="125" spans="1:11" ht="15" customHeight="1" x14ac:dyDescent="0.25">
      <c r="A125" s="72"/>
      <c r="B125" s="57"/>
      <c r="C125" s="58"/>
      <c r="D125" s="57"/>
      <c r="E125" s="57"/>
      <c r="F125" s="59"/>
      <c r="G125" s="57"/>
      <c r="H125" s="58"/>
      <c r="I125" s="73" t="str">
        <f t="shared" si="3"/>
        <v/>
      </c>
      <c r="J125" s="57"/>
      <c r="K125" s="58"/>
    </row>
    <row r="126" spans="1:11" ht="15" customHeight="1" x14ac:dyDescent="0.25">
      <c r="A126" s="74"/>
      <c r="B126" s="62"/>
      <c r="C126" s="63"/>
      <c r="D126" s="62"/>
      <c r="E126" s="62"/>
      <c r="F126" s="64"/>
      <c r="G126" s="62"/>
      <c r="H126" s="63"/>
      <c r="I126" s="75" t="str">
        <f t="shared" si="3"/>
        <v/>
      </c>
      <c r="J126" s="62"/>
      <c r="K126" s="63"/>
    </row>
    <row r="127" spans="1:11" ht="15" customHeight="1" x14ac:dyDescent="0.25">
      <c r="A127" s="72"/>
      <c r="B127" s="57"/>
      <c r="C127" s="58"/>
      <c r="D127" s="57"/>
      <c r="E127" s="57"/>
      <c r="F127" s="59"/>
      <c r="G127" s="57"/>
      <c r="H127" s="58"/>
      <c r="I127" s="73" t="str">
        <f t="shared" si="3"/>
        <v/>
      </c>
      <c r="J127" s="57"/>
      <c r="K127" s="58"/>
    </row>
    <row r="128" spans="1:11" ht="15" customHeight="1" x14ac:dyDescent="0.25">
      <c r="A128" s="74"/>
      <c r="B128" s="62"/>
      <c r="C128" s="63"/>
      <c r="D128" s="62"/>
      <c r="E128" s="62"/>
      <c r="F128" s="64"/>
      <c r="G128" s="62"/>
      <c r="H128" s="63"/>
      <c r="I128" s="75" t="str">
        <f t="shared" si="3"/>
        <v/>
      </c>
      <c r="J128" s="62"/>
      <c r="K128" s="63"/>
    </row>
    <row r="129" spans="1:11" ht="15" customHeight="1" x14ac:dyDescent="0.25">
      <c r="A129" s="72"/>
      <c r="B129" s="57"/>
      <c r="C129" s="58"/>
      <c r="D129" s="57"/>
      <c r="E129" s="57"/>
      <c r="F129" s="59"/>
      <c r="G129" s="57"/>
      <c r="H129" s="58"/>
      <c r="I129" s="73" t="str">
        <f t="shared" si="3"/>
        <v/>
      </c>
      <c r="J129" s="57"/>
      <c r="K129" s="58"/>
    </row>
    <row r="130" spans="1:11" ht="15" customHeight="1" x14ac:dyDescent="0.25">
      <c r="A130" s="74"/>
      <c r="B130" s="62"/>
      <c r="C130" s="63"/>
      <c r="D130" s="62"/>
      <c r="E130" s="62"/>
      <c r="F130" s="64"/>
      <c r="G130" s="62"/>
      <c r="H130" s="63"/>
      <c r="I130" s="75" t="str">
        <f t="shared" si="3"/>
        <v/>
      </c>
      <c r="J130" s="62"/>
      <c r="K130" s="63"/>
    </row>
    <row r="131" spans="1:11" ht="15" customHeight="1" x14ac:dyDescent="0.25">
      <c r="A131" s="72"/>
      <c r="B131" s="57"/>
      <c r="C131" s="58"/>
      <c r="D131" s="57"/>
      <c r="E131" s="57"/>
      <c r="F131" s="59"/>
      <c r="G131" s="57"/>
      <c r="H131" s="58"/>
      <c r="I131" s="73" t="str">
        <f t="shared" si="3"/>
        <v/>
      </c>
      <c r="J131" s="57"/>
      <c r="K131" s="58"/>
    </row>
    <row r="132" spans="1:11" ht="15" customHeight="1" x14ac:dyDescent="0.25">
      <c r="A132" s="74"/>
      <c r="B132" s="62"/>
      <c r="C132" s="63"/>
      <c r="D132" s="62"/>
      <c r="E132" s="62"/>
      <c r="F132" s="64"/>
      <c r="G132" s="62"/>
      <c r="H132" s="63"/>
      <c r="I132" s="75" t="str">
        <f t="shared" si="3"/>
        <v/>
      </c>
      <c r="J132" s="62"/>
      <c r="K132" s="63"/>
    </row>
    <row r="133" spans="1:11" ht="15" customHeight="1" x14ac:dyDescent="0.25">
      <c r="A133" s="72"/>
      <c r="B133" s="57"/>
      <c r="C133" s="58"/>
      <c r="D133" s="57"/>
      <c r="E133" s="57"/>
      <c r="F133" s="59"/>
      <c r="G133" s="57"/>
      <c r="H133" s="58"/>
      <c r="I133" s="73" t="str">
        <f t="shared" si="3"/>
        <v/>
      </c>
      <c r="J133" s="57"/>
      <c r="K133" s="58"/>
    </row>
    <row r="134" spans="1:11" ht="15" customHeight="1" x14ac:dyDescent="0.25">
      <c r="A134" s="74"/>
      <c r="B134" s="62"/>
      <c r="C134" s="63"/>
      <c r="D134" s="62"/>
      <c r="E134" s="62"/>
      <c r="F134" s="64"/>
      <c r="G134" s="62"/>
      <c r="H134" s="63"/>
      <c r="I134" s="75" t="str">
        <f t="shared" ref="I134:I154" si="4">IF(F134="","",IF(I133="",F134,I133+F134))</f>
        <v/>
      </c>
      <c r="J134" s="62"/>
      <c r="K134" s="63"/>
    </row>
    <row r="135" spans="1:11" ht="15" customHeight="1" x14ac:dyDescent="0.25">
      <c r="A135" s="72"/>
      <c r="B135" s="57"/>
      <c r="C135" s="58"/>
      <c r="D135" s="57"/>
      <c r="E135" s="57"/>
      <c r="F135" s="59"/>
      <c r="G135" s="57"/>
      <c r="H135" s="58"/>
      <c r="I135" s="73" t="str">
        <f t="shared" si="4"/>
        <v/>
      </c>
      <c r="J135" s="57"/>
      <c r="K135" s="58"/>
    </row>
    <row r="136" spans="1:11" ht="15" customHeight="1" x14ac:dyDescent="0.25">
      <c r="A136" s="74"/>
      <c r="B136" s="62"/>
      <c r="C136" s="63"/>
      <c r="D136" s="62"/>
      <c r="E136" s="62"/>
      <c r="F136" s="64"/>
      <c r="G136" s="62"/>
      <c r="H136" s="63"/>
      <c r="I136" s="75" t="str">
        <f t="shared" si="4"/>
        <v/>
      </c>
      <c r="J136" s="62"/>
      <c r="K136" s="63"/>
    </row>
    <row r="137" spans="1:11" ht="15" customHeight="1" x14ac:dyDescent="0.25">
      <c r="A137" s="72"/>
      <c r="B137" s="57"/>
      <c r="C137" s="58"/>
      <c r="D137" s="57"/>
      <c r="E137" s="57"/>
      <c r="F137" s="59"/>
      <c r="G137" s="57"/>
      <c r="H137" s="58"/>
      <c r="I137" s="73" t="str">
        <f t="shared" si="4"/>
        <v/>
      </c>
      <c r="J137" s="57"/>
      <c r="K137" s="58"/>
    </row>
    <row r="138" spans="1:11" ht="15" customHeight="1" x14ac:dyDescent="0.25">
      <c r="A138" s="74"/>
      <c r="B138" s="62"/>
      <c r="C138" s="63"/>
      <c r="D138" s="62"/>
      <c r="E138" s="62"/>
      <c r="F138" s="64"/>
      <c r="G138" s="62"/>
      <c r="H138" s="63"/>
      <c r="I138" s="75" t="str">
        <f t="shared" si="4"/>
        <v/>
      </c>
      <c r="J138" s="62"/>
      <c r="K138" s="63"/>
    </row>
    <row r="139" spans="1:11" ht="15" customHeight="1" x14ac:dyDescent="0.25">
      <c r="A139" s="72"/>
      <c r="B139" s="57"/>
      <c r="C139" s="58"/>
      <c r="D139" s="57"/>
      <c r="E139" s="57"/>
      <c r="F139" s="59"/>
      <c r="G139" s="57"/>
      <c r="H139" s="58"/>
      <c r="I139" s="73" t="str">
        <f t="shared" si="4"/>
        <v/>
      </c>
      <c r="J139" s="57"/>
      <c r="K139" s="58"/>
    </row>
    <row r="140" spans="1:11" ht="15" customHeight="1" x14ac:dyDescent="0.25">
      <c r="A140" s="74"/>
      <c r="B140" s="62"/>
      <c r="C140" s="63"/>
      <c r="D140" s="62"/>
      <c r="E140" s="62"/>
      <c r="F140" s="64"/>
      <c r="G140" s="62"/>
      <c r="H140" s="63"/>
      <c r="I140" s="75" t="str">
        <f t="shared" si="4"/>
        <v/>
      </c>
      <c r="J140" s="62"/>
      <c r="K140" s="63"/>
    </row>
    <row r="141" spans="1:11" ht="15" customHeight="1" x14ac:dyDescent="0.25">
      <c r="A141" s="72"/>
      <c r="B141" s="57"/>
      <c r="C141" s="58"/>
      <c r="D141" s="57"/>
      <c r="E141" s="57"/>
      <c r="F141" s="59"/>
      <c r="G141" s="57"/>
      <c r="H141" s="58"/>
      <c r="I141" s="73" t="str">
        <f t="shared" si="4"/>
        <v/>
      </c>
      <c r="J141" s="57"/>
      <c r="K141" s="58"/>
    </row>
    <row r="142" spans="1:11" ht="15" customHeight="1" x14ac:dyDescent="0.25">
      <c r="A142" s="74"/>
      <c r="B142" s="62"/>
      <c r="C142" s="63"/>
      <c r="D142" s="62"/>
      <c r="E142" s="62"/>
      <c r="F142" s="64"/>
      <c r="G142" s="62"/>
      <c r="H142" s="63"/>
      <c r="I142" s="75" t="str">
        <f t="shared" si="4"/>
        <v/>
      </c>
      <c r="J142" s="62"/>
      <c r="K142" s="63"/>
    </row>
    <row r="143" spans="1:11" ht="15" customHeight="1" x14ac:dyDescent="0.25">
      <c r="A143" s="72"/>
      <c r="B143" s="57"/>
      <c r="C143" s="58"/>
      <c r="D143" s="57"/>
      <c r="E143" s="57"/>
      <c r="F143" s="59"/>
      <c r="G143" s="57"/>
      <c r="H143" s="58"/>
      <c r="I143" s="73" t="str">
        <f t="shared" si="4"/>
        <v/>
      </c>
      <c r="J143" s="57"/>
      <c r="K143" s="58"/>
    </row>
    <row r="144" spans="1:11" ht="15" customHeight="1" x14ac:dyDescent="0.25">
      <c r="A144" s="74"/>
      <c r="B144" s="62"/>
      <c r="C144" s="63"/>
      <c r="D144" s="62"/>
      <c r="E144" s="62"/>
      <c r="F144" s="64"/>
      <c r="G144" s="62"/>
      <c r="H144" s="63"/>
      <c r="I144" s="75" t="str">
        <f t="shared" si="4"/>
        <v/>
      </c>
      <c r="J144" s="62"/>
      <c r="K144" s="63"/>
    </row>
    <row r="145" spans="1:11" ht="15" customHeight="1" x14ac:dyDescent="0.25">
      <c r="A145" s="72"/>
      <c r="B145" s="57"/>
      <c r="C145" s="58"/>
      <c r="D145" s="57"/>
      <c r="E145" s="57"/>
      <c r="F145" s="59"/>
      <c r="G145" s="57"/>
      <c r="H145" s="58"/>
      <c r="I145" s="73" t="str">
        <f t="shared" si="4"/>
        <v/>
      </c>
      <c r="J145" s="57"/>
      <c r="K145" s="58"/>
    </row>
    <row r="146" spans="1:11" ht="15" customHeight="1" x14ac:dyDescent="0.25">
      <c r="A146" s="74"/>
      <c r="B146" s="62"/>
      <c r="C146" s="63"/>
      <c r="D146" s="62"/>
      <c r="E146" s="62"/>
      <c r="F146" s="64"/>
      <c r="G146" s="62"/>
      <c r="H146" s="63"/>
      <c r="I146" s="75" t="str">
        <f t="shared" si="4"/>
        <v/>
      </c>
      <c r="J146" s="62"/>
      <c r="K146" s="63"/>
    </row>
    <row r="147" spans="1:11" ht="15" customHeight="1" x14ac:dyDescent="0.25">
      <c r="A147" s="72"/>
      <c r="B147" s="57"/>
      <c r="C147" s="58"/>
      <c r="D147" s="57"/>
      <c r="E147" s="57"/>
      <c r="F147" s="59"/>
      <c r="G147" s="57"/>
      <c r="H147" s="58"/>
      <c r="I147" s="73" t="str">
        <f t="shared" si="4"/>
        <v/>
      </c>
      <c r="J147" s="57"/>
      <c r="K147" s="58"/>
    </row>
    <row r="148" spans="1:11" ht="15" customHeight="1" x14ac:dyDescent="0.25">
      <c r="A148" s="74"/>
      <c r="B148" s="62"/>
      <c r="C148" s="63"/>
      <c r="D148" s="62"/>
      <c r="E148" s="62"/>
      <c r="F148" s="64"/>
      <c r="G148" s="62"/>
      <c r="H148" s="63"/>
      <c r="I148" s="75" t="str">
        <f t="shared" si="4"/>
        <v/>
      </c>
      <c r="J148" s="62"/>
      <c r="K148" s="63"/>
    </row>
    <row r="149" spans="1:11" ht="15" customHeight="1" x14ac:dyDescent="0.25">
      <c r="A149" s="72"/>
      <c r="B149" s="57"/>
      <c r="C149" s="58"/>
      <c r="D149" s="57"/>
      <c r="E149" s="57"/>
      <c r="F149" s="59"/>
      <c r="G149" s="57"/>
      <c r="H149" s="58"/>
      <c r="I149" s="73" t="str">
        <f t="shared" si="4"/>
        <v/>
      </c>
      <c r="J149" s="57"/>
      <c r="K149" s="58"/>
    </row>
    <row r="150" spans="1:11" ht="15" customHeight="1" x14ac:dyDescent="0.25">
      <c r="A150" s="74"/>
      <c r="B150" s="62"/>
      <c r="C150" s="63"/>
      <c r="D150" s="62"/>
      <c r="E150" s="62"/>
      <c r="F150" s="64"/>
      <c r="G150" s="62"/>
      <c r="H150" s="63"/>
      <c r="I150" s="75" t="str">
        <f t="shared" si="4"/>
        <v/>
      </c>
      <c r="J150" s="62"/>
      <c r="K150" s="63"/>
    </row>
    <row r="151" spans="1:11" ht="15" customHeight="1" x14ac:dyDescent="0.25">
      <c r="A151" s="72"/>
      <c r="B151" s="57"/>
      <c r="C151" s="58"/>
      <c r="D151" s="57"/>
      <c r="E151" s="57"/>
      <c r="F151" s="59"/>
      <c r="G151" s="57"/>
      <c r="H151" s="58"/>
      <c r="I151" s="73" t="str">
        <f t="shared" si="4"/>
        <v/>
      </c>
      <c r="J151" s="57"/>
      <c r="K151" s="58"/>
    </row>
    <row r="152" spans="1:11" ht="15" customHeight="1" x14ac:dyDescent="0.25">
      <c r="A152" s="74"/>
      <c r="B152" s="62"/>
      <c r="C152" s="63"/>
      <c r="D152" s="62"/>
      <c r="E152" s="62"/>
      <c r="F152" s="64"/>
      <c r="G152" s="62"/>
      <c r="H152" s="63"/>
      <c r="I152" s="75" t="str">
        <f t="shared" si="4"/>
        <v/>
      </c>
      <c r="J152" s="62"/>
      <c r="K152" s="63"/>
    </row>
    <row r="153" spans="1:11" ht="15" customHeight="1" x14ac:dyDescent="0.25">
      <c r="A153" s="72"/>
      <c r="B153" s="57"/>
      <c r="C153" s="58"/>
      <c r="D153" s="57"/>
      <c r="E153" s="57"/>
      <c r="F153" s="59"/>
      <c r="G153" s="57"/>
      <c r="H153" s="58"/>
      <c r="I153" s="73" t="str">
        <f t="shared" si="4"/>
        <v/>
      </c>
      <c r="J153" s="57"/>
      <c r="K153" s="58"/>
    </row>
    <row r="154" spans="1:11" ht="15" customHeight="1" x14ac:dyDescent="0.25">
      <c r="A154" s="74"/>
      <c r="B154" s="62"/>
      <c r="C154" s="63"/>
      <c r="D154" s="62"/>
      <c r="E154" s="62"/>
      <c r="F154" s="64"/>
      <c r="G154" s="62"/>
      <c r="H154" s="63"/>
      <c r="I154" s="75" t="str">
        <f t="shared" si="4"/>
        <v/>
      </c>
      <c r="J154" s="62"/>
      <c r="K154" s="63"/>
    </row>
    <row r="157" spans="1:11" ht="25.5" customHeight="1" x14ac:dyDescent="0.25">
      <c r="A157" s="130" t="s">
        <v>186</v>
      </c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</row>
    <row r="158" spans="1:11" ht="23.25" customHeight="1" x14ac:dyDescent="0.25">
      <c r="A158" s="1" t="s">
        <v>180</v>
      </c>
      <c r="B158" s="1" t="s">
        <v>187</v>
      </c>
      <c r="C158" s="1" t="s">
        <v>188</v>
      </c>
      <c r="D158" s="1" t="s">
        <v>189</v>
      </c>
      <c r="E158" s="1" t="s">
        <v>190</v>
      </c>
      <c r="F158" s="1" t="s">
        <v>191</v>
      </c>
      <c r="G158" s="1" t="s">
        <v>192</v>
      </c>
      <c r="H158" s="1" t="s">
        <v>193</v>
      </c>
      <c r="I158" s="1" t="s">
        <v>194</v>
      </c>
      <c r="J158" s="1" t="s">
        <v>195</v>
      </c>
      <c r="K158" s="1" t="s">
        <v>36</v>
      </c>
    </row>
    <row r="159" spans="1:11" ht="15" customHeight="1" x14ac:dyDescent="0.25">
      <c r="A159" s="76" t="s">
        <v>196</v>
      </c>
      <c r="B159" s="72">
        <v>46133</v>
      </c>
      <c r="C159" s="77">
        <f>COUNTIF(E5:E154,"Wk 1 (21 Apr)")</f>
        <v>1</v>
      </c>
      <c r="D159" s="78">
        <f>SUMPRODUCT((E5:E154="Wk 1 (21 Apr)")*(G5:G154="Cash")*(F5:F154))</f>
        <v>2550</v>
      </c>
      <c r="E159" s="78">
        <f>SUMPRODUCT((E5:E154="Wk 1 (21 Apr)")*((G5:G154="MTN MoMo")+(G5:G154="Vodafone Cash")+(G5:G154="AirtelTigo Money"))*(F5:F154))</f>
        <v>0</v>
      </c>
      <c r="F159" s="78">
        <f>SUMPRODUCT((E5:E154="Wk 1 (21 Apr)")*(G5:G154="Bank Transfer")*(F5:F154))</f>
        <v>0</v>
      </c>
      <c r="G159" s="78">
        <f>SUMPRODUCT((E5:E154="Wk 1 (21 Apr)")*(G5:G154="Cheque")*(F5:F154))</f>
        <v>0</v>
      </c>
      <c r="H159" s="79">
        <f t="shared" ref="H159:H172" si="5">SUM(D159:G159)</f>
        <v>2550</v>
      </c>
      <c r="I159" s="60">
        <f>H159</f>
        <v>2550</v>
      </c>
      <c r="J159" s="77"/>
      <c r="K159" s="80"/>
    </row>
    <row r="160" spans="1:11" ht="15" customHeight="1" x14ac:dyDescent="0.25">
      <c r="A160" s="81" t="s">
        <v>197</v>
      </c>
      <c r="B160" s="74">
        <v>46140</v>
      </c>
      <c r="C160" s="82">
        <f>COUNTIF(E5:E154,"Wk 2 (28 Apr)")</f>
        <v>1</v>
      </c>
      <c r="D160" s="83">
        <f>SUMPRODUCT((E5:E154="Wk 2 (28 Apr)")*(G5:G154="Cash")*(F5:F154))</f>
        <v>0</v>
      </c>
      <c r="E160" s="83">
        <f>SUMPRODUCT((E5:E154="Wk 2 (28 Apr)")*((G5:G154="MTN MoMo")+(G5:G154="Vodafone Cash")+(G5:G154="AirtelTigo Money"))*(F5:F154))</f>
        <v>2110.5</v>
      </c>
      <c r="F160" s="83">
        <f>SUMPRODUCT((E5:E154="Wk 2 (28 Apr)")*(G5:G154="Bank Transfer")*(F5:F154))</f>
        <v>0</v>
      </c>
      <c r="G160" s="83">
        <f>SUMPRODUCT((E5:E154="Wk 2 (28 Apr)")*(G5:G154="Cheque")*(F5:F154))</f>
        <v>0</v>
      </c>
      <c r="H160" s="84">
        <f t="shared" si="5"/>
        <v>2110.5</v>
      </c>
      <c r="I160" s="65">
        <f t="shared" ref="I160:I172" si="6">I159+H160</f>
        <v>4660.5</v>
      </c>
      <c r="J160" s="82"/>
      <c r="K160" s="85"/>
    </row>
    <row r="161" spans="1:11" ht="15" customHeight="1" x14ac:dyDescent="0.25">
      <c r="A161" s="76" t="s">
        <v>198</v>
      </c>
      <c r="B161" s="72">
        <v>46147</v>
      </c>
      <c r="C161" s="77">
        <f>COUNTIF(E5:E154,"Wk 3 (05 May)")</f>
        <v>0</v>
      </c>
      <c r="D161" s="78">
        <f>SUMPRODUCT((E5:E154="Wk 3 (05 May)")*(G5:G154="Cash")*(F5:F154))</f>
        <v>0</v>
      </c>
      <c r="E161" s="78">
        <f>SUMPRODUCT((E5:E154="Wk 3 (05 May)")*((G5:G154="MTN MoMo")+(G5:G154="Vodafone Cash")+(G5:G154="AirtelTigo Money"))*(F5:F154))</f>
        <v>0</v>
      </c>
      <c r="F161" s="78">
        <f>SUMPRODUCT((E5:E154="Wk 3 (05 May)")*(G5:G154="Bank Transfer")*(F5:F154))</f>
        <v>0</v>
      </c>
      <c r="G161" s="78">
        <f>SUMPRODUCT((E5:E154="Wk 3 (05 May)")*(G5:G154="Cheque")*(F5:F154))</f>
        <v>0</v>
      </c>
      <c r="H161" s="79">
        <f t="shared" si="5"/>
        <v>0</v>
      </c>
      <c r="I161" s="60">
        <f t="shared" si="6"/>
        <v>4660.5</v>
      </c>
      <c r="J161" s="77"/>
      <c r="K161" s="80"/>
    </row>
    <row r="162" spans="1:11" ht="15" customHeight="1" x14ac:dyDescent="0.25">
      <c r="A162" s="81" t="s">
        <v>199</v>
      </c>
      <c r="B162" s="74">
        <v>46154</v>
      </c>
      <c r="C162" s="82">
        <f>COUNTIF(E5:E154,"Wk 4 (12 May)")</f>
        <v>0</v>
      </c>
      <c r="D162" s="83">
        <f>SUMPRODUCT((E5:E154="Wk 4 (12 May)")*(G5:G154="Cash")*(F5:F154))</f>
        <v>0</v>
      </c>
      <c r="E162" s="83">
        <f>SUMPRODUCT((E5:E154="Wk 4 (12 May)")*((G5:G154="MTN MoMo")+(G5:G154="Vodafone Cash")+(G5:G154="AirtelTigo Money"))*(F5:F154))</f>
        <v>0</v>
      </c>
      <c r="F162" s="83">
        <f>SUMPRODUCT((E5:E154="Wk 4 (12 May)")*(G5:G154="Bank Transfer")*(F5:F154))</f>
        <v>0</v>
      </c>
      <c r="G162" s="83">
        <f>SUMPRODUCT((E5:E154="Wk 4 (12 May)")*(G5:G154="Cheque")*(F5:F154))</f>
        <v>0</v>
      </c>
      <c r="H162" s="84">
        <f t="shared" si="5"/>
        <v>0</v>
      </c>
      <c r="I162" s="65">
        <f t="shared" si="6"/>
        <v>4660.5</v>
      </c>
      <c r="J162" s="82"/>
      <c r="K162" s="85"/>
    </row>
    <row r="163" spans="1:11" ht="15" customHeight="1" x14ac:dyDescent="0.25">
      <c r="A163" s="76" t="s">
        <v>200</v>
      </c>
      <c r="B163" s="72">
        <v>46161</v>
      </c>
      <c r="C163" s="77">
        <f>COUNTIF(E5:E154,"Wk 5 (19 May)")</f>
        <v>0</v>
      </c>
      <c r="D163" s="78">
        <f>SUMPRODUCT((E5:E154="Wk 5 (19 May)")*(G5:G154="Cash")*(F5:F154))</f>
        <v>0</v>
      </c>
      <c r="E163" s="78">
        <f>SUMPRODUCT((E5:E154="Wk 5 (19 May)")*((G5:G154="MTN MoMo")+(G5:G154="Vodafone Cash")+(G5:G154="AirtelTigo Money"))*(F5:F154))</f>
        <v>0</v>
      </c>
      <c r="F163" s="78">
        <f>SUMPRODUCT((E5:E154="Wk 5 (19 May)")*(G5:G154="Bank Transfer")*(F5:F154))</f>
        <v>0</v>
      </c>
      <c r="G163" s="78">
        <f>SUMPRODUCT((E5:E154="Wk 5 (19 May)")*(G5:G154="Cheque")*(F5:F154))</f>
        <v>0</v>
      </c>
      <c r="H163" s="79">
        <f t="shared" si="5"/>
        <v>0</v>
      </c>
      <c r="I163" s="60">
        <f t="shared" si="6"/>
        <v>4660.5</v>
      </c>
      <c r="J163" s="77"/>
      <c r="K163" s="80"/>
    </row>
    <row r="164" spans="1:11" ht="15" customHeight="1" x14ac:dyDescent="0.25">
      <c r="A164" s="81" t="s">
        <v>201</v>
      </c>
      <c r="B164" s="74">
        <v>46168</v>
      </c>
      <c r="C164" s="82">
        <f>COUNTIF(E5:E154,"Wk 6 (26 May)")</f>
        <v>4</v>
      </c>
      <c r="D164" s="83">
        <f>SUMPRODUCT((E5:E154="Wk 6 (26 May)")*(G5:G154="Cash")*(F5:F154))</f>
        <v>1000</v>
      </c>
      <c r="E164" s="83">
        <f>SUMPRODUCT((E5:E154="Wk 6 (26 May)")*((G5:G154="MTN MoMo")+(G5:G154="Vodafone Cash")+(G5:G154="AirtelTigo Money"))*(F5:F154))</f>
        <v>2000</v>
      </c>
      <c r="F164" s="83">
        <f>SUMPRODUCT((E5:E154="Wk 6 (26 May)")*(G5:G154="Bank Transfer")*(F5:F154))</f>
        <v>1500</v>
      </c>
      <c r="G164" s="83">
        <f>SUMPRODUCT((E5:E154="Wk 6 (26 May)")*(G5:G154="Cheque")*(F5:F154))</f>
        <v>0</v>
      </c>
      <c r="H164" s="84">
        <f t="shared" si="5"/>
        <v>4500</v>
      </c>
      <c r="I164" s="65">
        <f t="shared" si="6"/>
        <v>9160.5</v>
      </c>
      <c r="J164" s="82"/>
      <c r="K164" s="85"/>
    </row>
    <row r="165" spans="1:11" ht="15" customHeight="1" x14ac:dyDescent="0.25">
      <c r="A165" s="76" t="s">
        <v>202</v>
      </c>
      <c r="B165" s="72">
        <v>46175</v>
      </c>
      <c r="C165" s="77">
        <f>COUNTIF(E5:E154,"Wk 7 (02 Jun)")</f>
        <v>0</v>
      </c>
      <c r="D165" s="78">
        <f>SUMPRODUCT((E5:E154="Wk 7 (02 Jun)")*(G5:G154="Cash")*(F5:F154))</f>
        <v>0</v>
      </c>
      <c r="E165" s="78">
        <f>SUMPRODUCT((E5:E154="Wk 7 (02 Jun)")*((G5:G154="MTN MoMo")+(G5:G154="Vodafone Cash")+(G5:G154="AirtelTigo Money"))*(F5:F154))</f>
        <v>0</v>
      </c>
      <c r="F165" s="78">
        <f>SUMPRODUCT((E5:E154="Wk 7 (02 Jun)")*(G5:G154="Bank Transfer")*(F5:F154))</f>
        <v>0</v>
      </c>
      <c r="G165" s="78">
        <f>SUMPRODUCT((E5:E154="Wk 7 (02 Jun)")*(G5:G154="Cheque")*(F5:F154))</f>
        <v>0</v>
      </c>
      <c r="H165" s="79">
        <f t="shared" si="5"/>
        <v>0</v>
      </c>
      <c r="I165" s="60">
        <f t="shared" si="6"/>
        <v>9160.5</v>
      </c>
      <c r="J165" s="77"/>
      <c r="K165" s="80"/>
    </row>
    <row r="166" spans="1:11" ht="15" customHeight="1" x14ac:dyDescent="0.25">
      <c r="A166" s="81" t="s">
        <v>203</v>
      </c>
      <c r="B166" s="74">
        <v>46182</v>
      </c>
      <c r="C166" s="82">
        <f>COUNTIF(E5:E154,"Wk 8 (09 Jun)")</f>
        <v>0</v>
      </c>
      <c r="D166" s="83">
        <f>SUMPRODUCT((E5:E154="Wk 8 (09 Jun)")*(G5:G154="Cash")*(F5:F154))</f>
        <v>0</v>
      </c>
      <c r="E166" s="83">
        <f>SUMPRODUCT((E5:E154="Wk 8 (09 Jun)")*((G5:G154="MTN MoMo")+(G5:G154="Vodafone Cash")+(G5:G154="AirtelTigo Money"))*(F5:F154))</f>
        <v>0</v>
      </c>
      <c r="F166" s="83">
        <f>SUMPRODUCT((E5:E154="Wk 8 (09 Jun)")*(G5:G154="Bank Transfer")*(F5:F154))</f>
        <v>0</v>
      </c>
      <c r="G166" s="83">
        <f>SUMPRODUCT((E5:E154="Wk 8 (09 Jun)")*(G5:G154="Cheque")*(F5:F154))</f>
        <v>0</v>
      </c>
      <c r="H166" s="84">
        <f t="shared" si="5"/>
        <v>0</v>
      </c>
      <c r="I166" s="65">
        <f t="shared" si="6"/>
        <v>9160.5</v>
      </c>
      <c r="J166" s="82"/>
      <c r="K166" s="85"/>
    </row>
    <row r="167" spans="1:11" ht="15" customHeight="1" x14ac:dyDescent="0.25">
      <c r="A167" s="76" t="s">
        <v>204</v>
      </c>
      <c r="B167" s="72">
        <v>46189</v>
      </c>
      <c r="C167" s="77">
        <f>COUNTIF(E5:E154,"Wk 9 (16 Jun)")</f>
        <v>1</v>
      </c>
      <c r="D167" s="78">
        <f>SUMPRODUCT((E5:E154="Wk 9 (16 Jun)")*(G5:G154="Cash")*(F5:F154))</f>
        <v>0</v>
      </c>
      <c r="E167" s="78">
        <f>SUMPRODUCT((E5:E154="Wk 9 (16 Jun)")*((G5:G154="MTN MoMo")+(G5:G154="Vodafone Cash")+(G5:G154="AirtelTigo Money"))*(F5:F154))</f>
        <v>2400</v>
      </c>
      <c r="F167" s="78">
        <f>SUMPRODUCT((E5:E154="Wk 9 (16 Jun)")*(G5:G154="Bank Transfer")*(F5:F154))</f>
        <v>0</v>
      </c>
      <c r="G167" s="78">
        <f>SUMPRODUCT((E5:E154="Wk 9 (16 Jun)")*(G5:G154="Cheque")*(F5:F154))</f>
        <v>0</v>
      </c>
      <c r="H167" s="79">
        <f t="shared" si="5"/>
        <v>2400</v>
      </c>
      <c r="I167" s="60">
        <f t="shared" si="6"/>
        <v>11560.5</v>
      </c>
      <c r="J167" s="77"/>
      <c r="K167" s="80"/>
    </row>
    <row r="168" spans="1:11" ht="21.75" customHeight="1" x14ac:dyDescent="0.25">
      <c r="A168" s="81" t="s">
        <v>205</v>
      </c>
      <c r="B168" s="74">
        <v>46196</v>
      </c>
      <c r="C168" s="82">
        <f>COUNTIF(E5:E154,"Wk 10 (23 Jun)")</f>
        <v>0</v>
      </c>
      <c r="D168" s="83">
        <f>SUMPRODUCT((E5:E154="Wk 10 (23 Jun)")*(G5:G154="Cash")*(F5:F154))</f>
        <v>0</v>
      </c>
      <c r="E168" s="83">
        <f>SUMPRODUCT((E5:E154="Wk 10 (23 Jun)")*((G5:G154="MTN MoMo")+(G5:G154="Vodafone Cash")+(G5:G154="AirtelTigo Money"))*(F5:F154))</f>
        <v>0</v>
      </c>
      <c r="F168" s="83">
        <f>SUMPRODUCT((E5:E154="Wk 10 (23 Jun)")*(G5:G154="Bank Transfer")*(F5:F154))</f>
        <v>0</v>
      </c>
      <c r="G168" s="83">
        <f>SUMPRODUCT((E5:E154="Wk 10 (23 Jun)")*(G5:G154="Cheque")*(F5:F154))</f>
        <v>0</v>
      </c>
      <c r="H168" s="84">
        <f t="shared" si="5"/>
        <v>0</v>
      </c>
      <c r="I168" s="65">
        <f t="shared" si="6"/>
        <v>11560.5</v>
      </c>
      <c r="J168" s="82"/>
      <c r="K168" s="85"/>
    </row>
    <row r="169" spans="1:11" ht="21.75" customHeight="1" x14ac:dyDescent="0.25">
      <c r="A169" s="76" t="s">
        <v>206</v>
      </c>
      <c r="B169" s="72">
        <v>46203</v>
      </c>
      <c r="C169" s="77">
        <f>COUNTIF(E5:E154,"Wk 11 (30 Jun)")</f>
        <v>0</v>
      </c>
      <c r="D169" s="78">
        <f>SUMPRODUCT((E5:E154="Wk 11 (30 Jun)")*(G5:G154="Cash")*(F5:F154))</f>
        <v>0</v>
      </c>
      <c r="E169" s="78">
        <f>SUMPRODUCT((E5:E154="Wk 11 (30 Jun)")*((G5:G154="MTN MoMo")+(G5:G154="Vodafone Cash")+(G5:G154="AirtelTigo Money"))*(F5:F154))</f>
        <v>0</v>
      </c>
      <c r="F169" s="78">
        <f>SUMPRODUCT((E5:E154="Wk 11 (30 Jun)")*(G5:G154="Bank Transfer")*(F5:F154))</f>
        <v>0</v>
      </c>
      <c r="G169" s="78">
        <f>SUMPRODUCT((E5:E154="Wk 11 (30 Jun)")*(G5:G154="Cheque")*(F5:F154))</f>
        <v>0</v>
      </c>
      <c r="H169" s="79">
        <f t="shared" si="5"/>
        <v>0</v>
      </c>
      <c r="I169" s="60">
        <f t="shared" si="6"/>
        <v>11560.5</v>
      </c>
      <c r="J169" s="77"/>
      <c r="K169" s="80"/>
    </row>
    <row r="170" spans="1:11" ht="18.75" customHeight="1" x14ac:dyDescent="0.25">
      <c r="A170" s="81" t="s">
        <v>207</v>
      </c>
      <c r="B170" s="74">
        <v>46210</v>
      </c>
      <c r="C170" s="82">
        <f>COUNTIF(E5:E154,"Wk 12 (07 Jul)")</f>
        <v>2</v>
      </c>
      <c r="D170" s="83">
        <f>SUMPRODUCT((E5:E154="Wk 12 (07 Jul)")*(G5:G154="Cash")*(F5:F154))</f>
        <v>0</v>
      </c>
      <c r="E170" s="83">
        <f>SUMPRODUCT((E5:E154="Wk 12 (07 Jul)")*((G5:G154="MTN MoMo")+(G5:G154="Vodafone Cash")+(G5:G154="AirtelTigo Money"))*(F5:F154))</f>
        <v>1989.5</v>
      </c>
      <c r="F170" s="83">
        <f>SUMPRODUCT((E5:E154="Wk 12 (07 Jul)")*(G5:G154="Bank Transfer")*(F5:F154))</f>
        <v>922.5</v>
      </c>
      <c r="G170" s="83">
        <f>SUMPRODUCT((E5:E154="Wk 12 (07 Jul)")*(G5:G154="Cheque")*(F5:F154))</f>
        <v>0</v>
      </c>
      <c r="H170" s="84">
        <f t="shared" si="5"/>
        <v>2912</v>
      </c>
      <c r="I170" s="65">
        <f t="shared" si="6"/>
        <v>14472.5</v>
      </c>
      <c r="J170" s="86" t="s">
        <v>208</v>
      </c>
      <c r="K170" s="85"/>
    </row>
    <row r="171" spans="1:11" ht="18.75" customHeight="1" x14ac:dyDescent="0.25">
      <c r="A171" s="76" t="s">
        <v>209</v>
      </c>
      <c r="B171" s="72">
        <v>46217</v>
      </c>
      <c r="C171" s="77">
        <f>COUNTIF(E5:E154,"Wk 13 (14 Jul)")</f>
        <v>1</v>
      </c>
      <c r="D171" s="78">
        <f>SUMPRODUCT((E5:E154="Wk 13 (14 Jul)")*(G5:G154="Cash")*(F5:F154))</f>
        <v>0</v>
      </c>
      <c r="E171" s="78">
        <f>SUMPRODUCT((E5:E154="Wk 13 (14 Jul)")*((G5:G154="MTN MoMo")+(G5:G154="Vodafone Cash")+(G5:G154="AirtelTigo Money"))*(F5:F154))</f>
        <v>0</v>
      </c>
      <c r="F171" s="78">
        <f>SUMPRODUCT((E5:E154="Wk 13 (14 Jul)")*(G5:G154="Bank Transfer")*(F5:F154))</f>
        <v>2100</v>
      </c>
      <c r="G171" s="78">
        <f>SUMPRODUCT((E5:E154="Wk 13 (14 Jul)")*(G5:G154="Cheque")*(F5:F154))</f>
        <v>0</v>
      </c>
      <c r="H171" s="79">
        <f t="shared" si="5"/>
        <v>2100</v>
      </c>
      <c r="I171" s="60">
        <f t="shared" si="6"/>
        <v>16572.5</v>
      </c>
      <c r="J171" s="87" t="s">
        <v>208</v>
      </c>
      <c r="K171" s="80"/>
    </row>
    <row r="172" spans="1:11" ht="18.75" customHeight="1" x14ac:dyDescent="0.25">
      <c r="A172" s="81" t="s">
        <v>210</v>
      </c>
      <c r="B172" s="74">
        <v>46224</v>
      </c>
      <c r="C172" s="82">
        <f>COUNTIF(E5:E154,"Wk 14 (21 Jul)")</f>
        <v>0</v>
      </c>
      <c r="D172" s="83">
        <f>SUMPRODUCT((E5:E154="Wk 14 (21 Jul)")*(G5:G154="Cash")*(F5:F154))</f>
        <v>0</v>
      </c>
      <c r="E172" s="83">
        <f>SUMPRODUCT((E5:E154="Wk 14 (21 Jul)")*((G5:G154="MTN MoMo")+(G5:G154="Vodafone Cash")+(G5:G154="AirtelTigo Money"))*(F5:F154))</f>
        <v>0</v>
      </c>
      <c r="F172" s="83">
        <f>SUMPRODUCT((E5:E154="Wk 14 (21 Jul)")*(G5:G154="Bank Transfer")*(F5:F154))</f>
        <v>0</v>
      </c>
      <c r="G172" s="83">
        <f>SUMPRODUCT((E5:E154="Wk 14 (21 Jul)")*(G5:G154="Cheque")*(F5:F154))</f>
        <v>0</v>
      </c>
      <c r="H172" s="84">
        <f t="shared" si="5"/>
        <v>0</v>
      </c>
      <c r="I172" s="65">
        <f t="shared" si="6"/>
        <v>16572.5</v>
      </c>
      <c r="J172" s="86" t="s">
        <v>208</v>
      </c>
      <c r="K172" s="85"/>
    </row>
    <row r="173" spans="1:11" ht="15" customHeight="1" x14ac:dyDescent="0.25">
      <c r="A173" s="28" t="s">
        <v>211</v>
      </c>
      <c r="B173" s="28"/>
      <c r="C173" s="88">
        <f t="shared" ref="C173:H173" si="7">SUM(C159:C172)</f>
        <v>10</v>
      </c>
      <c r="D173" s="29">
        <f t="shared" si="7"/>
        <v>3550</v>
      </c>
      <c r="E173" s="29">
        <f t="shared" si="7"/>
        <v>8500</v>
      </c>
      <c r="F173" s="29">
        <f t="shared" si="7"/>
        <v>4522.5</v>
      </c>
      <c r="G173" s="29">
        <f t="shared" si="7"/>
        <v>0</v>
      </c>
      <c r="H173" s="29">
        <f t="shared" si="7"/>
        <v>16572.5</v>
      </c>
      <c r="I173" s="28"/>
      <c r="J173" s="28"/>
      <c r="K173" s="28"/>
    </row>
    <row r="176" spans="1:11" ht="15" customHeight="1" x14ac:dyDescent="0.25">
      <c r="A176" s="130" t="s">
        <v>212</v>
      </c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</row>
    <row r="177" spans="1:11" ht="23.25" customHeight="1" x14ac:dyDescent="0.25">
      <c r="A177" s="8" t="s">
        <v>213</v>
      </c>
      <c r="B177" s="8" t="s">
        <v>214</v>
      </c>
      <c r="C177" s="8" t="s">
        <v>189</v>
      </c>
      <c r="D177" s="8" t="s">
        <v>190</v>
      </c>
      <c r="E177" s="8" t="s">
        <v>191</v>
      </c>
      <c r="F177" s="8" t="s">
        <v>192</v>
      </c>
      <c r="G177" s="8" t="s">
        <v>215</v>
      </c>
      <c r="H177" s="8" t="s">
        <v>194</v>
      </c>
      <c r="I177" s="8" t="s">
        <v>216</v>
      </c>
      <c r="J177" s="8" t="s">
        <v>217</v>
      </c>
      <c r="K177" s="8" t="s">
        <v>36</v>
      </c>
    </row>
    <row r="178" spans="1:11" ht="15" customHeight="1" x14ac:dyDescent="0.25">
      <c r="A178" s="89" t="s">
        <v>218</v>
      </c>
      <c r="B178" s="90" t="e">
        <f>SUMPRODUCT((MONTH(A5:A154)=4)*(A5:A154&lt;&gt;""))</f>
        <v>#VALUE!</v>
      </c>
      <c r="C178" s="78" t="e">
        <f>SUMPRODUCT((MONTH(A5:A154)=4)*(G5:G154="Cash")*(F5:F154))</f>
        <v>#VALUE!</v>
      </c>
      <c r="D178" s="78" t="e">
        <f>SUMPRODUCT((MONTH(A5:A154)=4)*((G5:G154="MTN MoMo")+(G5:G154="Vodafone Cash")+(G5:G154="AirtelTigo Money"))*(F5:F154))</f>
        <v>#VALUE!</v>
      </c>
      <c r="E178" s="78" t="e">
        <f>SUMPRODUCT((MONTH(A5:A154)=4)*(G5:G154="Bank Transfer")*(F5:F154))</f>
        <v>#VALUE!</v>
      </c>
      <c r="F178" s="78" t="e">
        <f>SUMPRODUCT((MONTH(A5:A154)=4)*(G5:G154="Cheque")*(F5:F154))</f>
        <v>#VALUE!</v>
      </c>
      <c r="G178" s="79" t="e">
        <f>SUM(C178:F178)</f>
        <v>#VALUE!</v>
      </c>
      <c r="H178" s="60" t="e">
        <f>G178</f>
        <v>#VALUE!</v>
      </c>
      <c r="I178" s="91">
        <v>0.3</v>
      </c>
      <c r="J178" s="78"/>
      <c r="K178" s="92"/>
    </row>
    <row r="179" spans="1:11" ht="15" customHeight="1" x14ac:dyDescent="0.25">
      <c r="A179" s="93" t="s">
        <v>219</v>
      </c>
      <c r="B179" s="94" t="e">
        <f>SUMPRODUCT((MONTH(A5:A154)=5)*(A5:A154&lt;&gt;""))</f>
        <v>#VALUE!</v>
      </c>
      <c r="C179" s="83" t="e">
        <f>SUMPRODUCT((MONTH(A5:A154)=5)*(G5:G154="Cash")*(F5:F154))</f>
        <v>#VALUE!</v>
      </c>
      <c r="D179" s="83" t="e">
        <f>SUMPRODUCT((MONTH(A5:A154)=5)*((G5:G154="MTN MoMo")+(G5:G154="Vodafone Cash")+(G5:G154="AirtelTigo Money"))*(F5:F154))</f>
        <v>#VALUE!</v>
      </c>
      <c r="E179" s="83" t="e">
        <f>SUMPRODUCT((MONTH(A5:A154)=5)*(G5:G154="Bank Transfer")*(F5:F154))</f>
        <v>#VALUE!</v>
      </c>
      <c r="F179" s="83" t="e">
        <f>SUMPRODUCT((MONTH(A5:A154)=5)*(G5:G154="Cheque")*(F5:F154))</f>
        <v>#VALUE!</v>
      </c>
      <c r="G179" s="84" t="e">
        <f>SUM(C179:F179)</f>
        <v>#VALUE!</v>
      </c>
      <c r="H179" s="65" t="e">
        <f>H178+G179</f>
        <v>#VALUE!</v>
      </c>
      <c r="I179" s="95">
        <v>0.65</v>
      </c>
      <c r="J179" s="83"/>
      <c r="K179" s="96"/>
    </row>
    <row r="180" spans="1:11" ht="15" customHeight="1" x14ac:dyDescent="0.25">
      <c r="A180" s="89" t="s">
        <v>220</v>
      </c>
      <c r="B180" s="90" t="e">
        <f>SUMPRODUCT((MONTH(A5:A154)=6)*(A5:A154&lt;&gt;""))</f>
        <v>#VALUE!</v>
      </c>
      <c r="C180" s="78" t="e">
        <f>SUMPRODUCT((MONTH(A5:A154)=6)*(G5:G154="Cash")*(F5:F154))</f>
        <v>#VALUE!</v>
      </c>
      <c r="D180" s="78" t="e">
        <f>SUMPRODUCT((MONTH(A5:A154)=6)*((G5:G154="MTN MoMo")+(G5:G154="Vodafone Cash")+(G5:G154="AirtelTigo Money"))*(F5:F154))</f>
        <v>#VALUE!</v>
      </c>
      <c r="E180" s="78" t="e">
        <f>SUMPRODUCT((MONTH(A5:A154)=6)*(G5:G154="Bank Transfer")*(F5:F154))</f>
        <v>#VALUE!</v>
      </c>
      <c r="F180" s="78" t="e">
        <f>SUMPRODUCT((MONTH(A5:A154)=6)*(G5:G154="Cheque")*(F5:F154))</f>
        <v>#VALUE!</v>
      </c>
      <c r="G180" s="79" t="e">
        <f>SUM(C180:F180)</f>
        <v>#VALUE!</v>
      </c>
      <c r="H180" s="60" t="e">
        <f>H179+G180</f>
        <v>#VALUE!</v>
      </c>
      <c r="I180" s="91">
        <v>1</v>
      </c>
      <c r="J180" s="78"/>
      <c r="K180" s="92"/>
    </row>
    <row r="181" spans="1:11" ht="15" customHeight="1" x14ac:dyDescent="0.25">
      <c r="A181" s="93" t="s">
        <v>221</v>
      </c>
      <c r="B181" s="94" t="e">
        <f>SUMPRODUCT((MONTH(A5:A154)=7)*(A5:A154&lt;&gt;""))</f>
        <v>#VALUE!</v>
      </c>
      <c r="C181" s="83" t="e">
        <f>SUMPRODUCT((MONTH(A5:A154)=7)*(G5:G154="Cash")*(F5:F154))</f>
        <v>#VALUE!</v>
      </c>
      <c r="D181" s="83" t="e">
        <f>SUMPRODUCT((MONTH(A5:A154)=7)*((G5:G154="MTN MoMo")+(G5:G154="Vodafone Cash")+(G5:G154="AirtelTigo Money"))*(F5:F154))</f>
        <v>#VALUE!</v>
      </c>
      <c r="E181" s="83" t="e">
        <f>SUMPRODUCT((MONTH(A5:A154)=7)*(G5:G154="Bank Transfer")*(F5:F154))</f>
        <v>#VALUE!</v>
      </c>
      <c r="F181" s="83" t="e">
        <f>SUMPRODUCT((MONTH(A5:A154)=7)*(G5:G154="Cheque")*(F5:F154))</f>
        <v>#VALUE!</v>
      </c>
      <c r="G181" s="84" t="e">
        <f>SUM(C181:F181)</f>
        <v>#VALUE!</v>
      </c>
      <c r="H181" s="65" t="e">
        <f>H180+G181</f>
        <v>#VALUE!</v>
      </c>
      <c r="I181" s="95">
        <v>1</v>
      </c>
      <c r="J181" s="83"/>
      <c r="K181" s="96"/>
    </row>
    <row r="182" spans="1:11" ht="15" customHeight="1" x14ac:dyDescent="0.25">
      <c r="A182" s="28" t="s">
        <v>222</v>
      </c>
      <c r="B182" s="88" t="e">
        <f t="shared" ref="B182:G182" si="8">SUM(B178:B181)</f>
        <v>#VALUE!</v>
      </c>
      <c r="C182" s="29" t="e">
        <f t="shared" si="8"/>
        <v>#VALUE!</v>
      </c>
      <c r="D182" s="29" t="e">
        <f t="shared" si="8"/>
        <v>#VALUE!</v>
      </c>
      <c r="E182" s="29" t="e">
        <f t="shared" si="8"/>
        <v>#VALUE!</v>
      </c>
      <c r="F182" s="29" t="e">
        <f t="shared" si="8"/>
        <v>#VALUE!</v>
      </c>
      <c r="G182" s="29" t="e">
        <f t="shared" si="8"/>
        <v>#VALUE!</v>
      </c>
      <c r="H182" s="28"/>
      <c r="I182" s="28"/>
      <c r="J182" s="28"/>
      <c r="K182" s="28"/>
    </row>
  </sheetData>
  <mergeCells count="7">
    <mergeCell ref="A157:K157"/>
    <mergeCell ref="A176:K176"/>
    <mergeCell ref="A1:K1"/>
    <mergeCell ref="A2:K2"/>
    <mergeCell ref="A3:F3"/>
    <mergeCell ref="G3:I3"/>
    <mergeCell ref="J3:K3"/>
  </mergeCells>
  <dataValidations count="6">
    <dataValidation type="list" allowBlank="1" showInputMessage="1" promptTitle="Pupil Name" prompt="Select the pupil making the payment" sqref="C5:C154" xr:uid="{00000000-0002-0000-0300-000000000000}">
      <formula1>$P$1:$P$6</formula1>
      <formula2>0</formula2>
    </dataValidation>
    <dataValidation type="list" allowBlank="1" showInputMessage="1" promptTitle="Week" prompt="Select the week of payment" sqref="E5:E154" xr:uid="{00000000-0002-0000-0300-000001000000}">
      <formula1>"Wk 1 (21 Apr),Wk 2 (28 Apr),Wk 3 (05 May),Wk 4 (12 May),Wk 5 (19 May),Wk 6 (26 May),Wk 7 (02 Jun),Wk 8 (09 Jun),Wk 9 (16 Jun),Wk 10 (23 Jun),Wk 11 (30 Jun),Wk 12 (07 Jul),Wk 13 (14 Jul),Wk 14 (21 Jul)"</formula1>
      <formula2>0</formula2>
    </dataValidation>
    <dataValidation type="list" allowBlank="1" sqref="G5:G154" xr:uid="{00000000-0002-0000-0300-000002000000}">
      <formula1>"Cash,MTN MoMo,Vodafone Cash,AirtelTigo Money,Bank Transfer,Cheque"</formula1>
      <formula2>0</formula2>
    </dataValidation>
    <dataValidation type="list" allowBlank="1" sqref="D5:D154" xr:uid="{00000000-0002-0000-0300-000003000000}">
      <formula1>"Term 3,Term 2 Arrears,Term 1 Arrears"</formula1>
      <formula2>0</formula2>
    </dataValidation>
    <dataValidation type="list" allowBlank="1" sqref="J5:J154" xr:uid="{00000000-0002-0000-0300-000004000000}">
      <formula1>"Yes,No,Pending"</formula1>
      <formula2>0</formula2>
    </dataValidation>
    <dataValidation type="list" allowBlank="1" sqref="H5:H154" xr:uid="{00000000-0002-0000-0300-000005000000}">
      <formula1>"Dorcas Matilda Akosua Kusi,Hannah Ayorkor Laryea,Other"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D4A2D"/>
  </sheetPr>
  <dimension ref="A1:Q28"/>
  <sheetViews>
    <sheetView zoomScaleNormal="100" workbookViewId="0">
      <pane xSplit="2" ySplit="4" topLeftCell="I12" activePane="bottomRight" state="frozen"/>
      <selection pane="topRight" activeCell="C1" sqref="C1"/>
      <selection pane="bottomLeft" activeCell="A5" sqref="A5"/>
      <selection pane="bottomRight" activeCell="N6" sqref="N6"/>
    </sheetView>
  </sheetViews>
  <sheetFormatPr defaultColWidth="8.7109375" defaultRowHeight="15" x14ac:dyDescent="0.25"/>
  <cols>
    <col min="1" max="1" width="5" customWidth="1"/>
    <col min="2" max="2" width="36" customWidth="1"/>
    <col min="3" max="3" width="14" customWidth="1"/>
    <col min="4" max="16" width="13" customWidth="1"/>
    <col min="17" max="17" width="45" customWidth="1"/>
  </cols>
  <sheetData>
    <row r="1" spans="1:17" ht="25.5" customHeight="1" x14ac:dyDescent="0.25">
      <c r="A1" s="119" t="s">
        <v>223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</row>
    <row r="3" spans="1:17" ht="15" customHeight="1" x14ac:dyDescent="0.25">
      <c r="A3" s="120" t="s">
        <v>149</v>
      </c>
      <c r="B3" s="120"/>
      <c r="C3" s="120"/>
      <c r="D3" s="121" t="s">
        <v>150</v>
      </c>
      <c r="E3" s="121"/>
      <c r="F3" s="121"/>
      <c r="G3" s="121"/>
      <c r="H3" s="122" t="s">
        <v>151</v>
      </c>
      <c r="I3" s="122"/>
      <c r="J3" s="122"/>
      <c r="K3" s="122"/>
      <c r="L3" s="122"/>
      <c r="M3" s="123" t="s">
        <v>152</v>
      </c>
      <c r="N3" s="123"/>
      <c r="O3" s="123"/>
      <c r="P3" s="123"/>
      <c r="Q3" s="32" t="s">
        <v>153</v>
      </c>
    </row>
    <row r="4" spans="1:17" ht="27.75" customHeight="1" x14ac:dyDescent="0.25">
      <c r="A4" s="6" t="s">
        <v>87</v>
      </c>
      <c r="B4" s="6" t="s">
        <v>88</v>
      </c>
      <c r="C4" s="6" t="s">
        <v>33</v>
      </c>
      <c r="D4" s="5" t="s">
        <v>154</v>
      </c>
      <c r="E4" s="5" t="s">
        <v>155</v>
      </c>
      <c r="F4" s="5" t="s">
        <v>72</v>
      </c>
      <c r="G4" s="5" t="s">
        <v>73</v>
      </c>
      <c r="H4" s="4" t="s">
        <v>156</v>
      </c>
      <c r="I4" s="4" t="s">
        <v>157</v>
      </c>
      <c r="J4" s="4" t="s">
        <v>76</v>
      </c>
      <c r="K4" s="4" t="s">
        <v>77</v>
      </c>
      <c r="L4" s="4" t="s">
        <v>78</v>
      </c>
      <c r="M4" s="3" t="s">
        <v>80</v>
      </c>
      <c r="N4" s="3" t="s">
        <v>81</v>
      </c>
      <c r="O4" s="3" t="s">
        <v>158</v>
      </c>
      <c r="P4" s="3" t="s">
        <v>159</v>
      </c>
      <c r="Q4" s="32" t="s">
        <v>160</v>
      </c>
    </row>
    <row r="5" spans="1:17" ht="29.1" customHeight="1" x14ac:dyDescent="0.25">
      <c r="A5" s="57">
        <v>1</v>
      </c>
      <c r="B5" s="58" t="s">
        <v>124</v>
      </c>
      <c r="C5" s="57" t="s">
        <v>48</v>
      </c>
      <c r="D5" s="59">
        <v>2295</v>
      </c>
      <c r="E5" s="59"/>
      <c r="F5" s="59">
        <v>1800</v>
      </c>
      <c r="G5" s="59">
        <f>IF(B5="","",IF(D5="",0,D5)+IF(E5="",0,E5)-IF(F5="",0,F5))</f>
        <v>495</v>
      </c>
      <c r="H5" s="59">
        <v>2400</v>
      </c>
      <c r="I5" s="59"/>
      <c r="J5" s="59">
        <v>240</v>
      </c>
      <c r="K5" s="59">
        <v>2160</v>
      </c>
      <c r="L5" s="59">
        <f>IF(B5="","",IF(H5="",0,H5)+IF(I5="",0,I5)-IF(J5="",0,J5)-IF(K5="",0,K5))</f>
        <v>0</v>
      </c>
      <c r="M5" s="59">
        <v>2160</v>
      </c>
      <c r="N5" s="59">
        <v>120</v>
      </c>
      <c r="O5" s="59">
        <v>2160</v>
      </c>
      <c r="P5" s="60">
        <v>0</v>
      </c>
      <c r="Q5" s="61" t="s">
        <v>224</v>
      </c>
    </row>
    <row r="6" spans="1:17" ht="30.6" customHeight="1" x14ac:dyDescent="0.25">
      <c r="A6" s="62">
        <v>2</v>
      </c>
      <c r="B6" s="63" t="s">
        <v>97</v>
      </c>
      <c r="C6" s="62" t="s">
        <v>98</v>
      </c>
      <c r="D6" s="64">
        <v>2280</v>
      </c>
      <c r="E6" s="64">
        <v>3820</v>
      </c>
      <c r="F6" s="64">
        <v>2500</v>
      </c>
      <c r="G6" s="64">
        <f>IF(B6="","",IF(D6="",0,D6)+IF(E6="",0,E6)-IF(F6="",0,F6))</f>
        <v>3600</v>
      </c>
      <c r="H6" s="64">
        <v>2400</v>
      </c>
      <c r="I6" s="64">
        <v>3100</v>
      </c>
      <c r="J6" s="64">
        <v>120</v>
      </c>
      <c r="K6" s="64">
        <v>2000</v>
      </c>
      <c r="L6" s="64">
        <f>IF(B6="","",IF(H6="",0,H6)+IF(I6="",0,I6)-IF(J6="",0,J6)-IF(K6="",0,K6))</f>
        <v>3380</v>
      </c>
      <c r="M6" s="64">
        <v>2280</v>
      </c>
      <c r="N6" s="64">
        <v>240</v>
      </c>
      <c r="O6" s="64">
        <f>SUMIF('Nursery 1 - Payments'!C5:C154,B6,'Nursery 1 - Payments'!F5:F154)</f>
        <v>2500</v>
      </c>
      <c r="P6" s="65">
        <f>IF(B6="","",IF(M6="",0,M6)-IF(N6="",0,N6)+IF(L6&lt;0,0,IF(L6="",0,L6))-IF(O6="",0,O6))</f>
        <v>2920</v>
      </c>
      <c r="Q6" s="66" t="s">
        <v>225</v>
      </c>
    </row>
    <row r="7" spans="1:17" ht="30.6" customHeight="1" x14ac:dyDescent="0.25">
      <c r="A7" s="57">
        <v>3</v>
      </c>
      <c r="B7" s="58" t="s">
        <v>226</v>
      </c>
      <c r="C7" s="57" t="s">
        <v>98</v>
      </c>
      <c r="D7" s="59">
        <v>2280</v>
      </c>
      <c r="E7" s="59"/>
      <c r="F7" s="59">
        <v>2280</v>
      </c>
      <c r="G7" s="59">
        <f>IF(B7="","",IF(D7="",0,D7)+IF(E7="",0,E7)-IF(F7="",0,F7))</f>
        <v>0</v>
      </c>
      <c r="H7" s="59">
        <v>2400</v>
      </c>
      <c r="I7" s="59"/>
      <c r="J7" s="59">
        <v>120</v>
      </c>
      <c r="K7" s="59">
        <v>2280</v>
      </c>
      <c r="L7" s="59">
        <f>IF(B7="","",IF(H7="",0,H7)+IF(I7="",0,I7)-IF(J7="",0,J7)-IF(K7="",0,K7))</f>
        <v>0</v>
      </c>
      <c r="M7" s="59">
        <v>2400</v>
      </c>
      <c r="N7" s="59">
        <v>120</v>
      </c>
      <c r="O7" s="59">
        <f>SUMIF('Nursery 1 - Payments'!C5:C154,B7,'Nursery 1 - Payments'!F5:F154)</f>
        <v>2280</v>
      </c>
      <c r="P7" s="60">
        <f>IF(B7="","",IF(M7="",0,M7)-IF(N7="",0,N7)+IF(L7&lt;0,0,IF(L7="",0,L7))-IF(O7="",0,O7))</f>
        <v>0</v>
      </c>
      <c r="Q7" s="61" t="s">
        <v>227</v>
      </c>
    </row>
    <row r="8" spans="1:17" ht="30.6" customHeight="1" x14ac:dyDescent="0.25">
      <c r="A8" s="57">
        <v>4</v>
      </c>
      <c r="B8" s="58" t="s">
        <v>339</v>
      </c>
      <c r="C8" s="57"/>
      <c r="D8" s="59"/>
      <c r="E8" s="59"/>
      <c r="F8" s="59"/>
      <c r="G8" s="59"/>
      <c r="H8" s="59"/>
      <c r="I8" s="59"/>
      <c r="J8" s="59"/>
      <c r="K8" s="59"/>
      <c r="L8" s="59"/>
      <c r="M8" s="59">
        <v>2400</v>
      </c>
      <c r="N8" s="59">
        <v>2400</v>
      </c>
      <c r="O8" s="59">
        <v>0</v>
      </c>
      <c r="P8" s="60">
        <v>0</v>
      </c>
      <c r="Q8" s="115" t="s">
        <v>235</v>
      </c>
    </row>
    <row r="9" spans="1:17" ht="30.6" customHeight="1" x14ac:dyDescent="0.25">
      <c r="A9" s="57">
        <v>5</v>
      </c>
      <c r="B9" s="63" t="s">
        <v>126</v>
      </c>
      <c r="C9" s="62" t="s">
        <v>48</v>
      </c>
      <c r="D9" s="64">
        <v>800</v>
      </c>
      <c r="E9" s="64"/>
      <c r="F9" s="64">
        <v>450</v>
      </c>
      <c r="G9" s="64">
        <f t="shared" ref="G9:G16" si="0">IF(B9="","",IF(D9="",0,D9)+IF(E9="",0,E9)-IF(F9="",0,F9))</f>
        <v>350</v>
      </c>
      <c r="H9" s="64">
        <v>2400</v>
      </c>
      <c r="I9" s="64">
        <v>350</v>
      </c>
      <c r="J9" s="64">
        <v>2400</v>
      </c>
      <c r="K9" s="64"/>
      <c r="L9" s="64">
        <f>IF(B9="","",IF(H9="",0,H9)+IF(I9="",0,I9)-IF(J9="",0,J9)-IF(K9="",0,K9))</f>
        <v>350</v>
      </c>
      <c r="M9" s="64">
        <v>2400</v>
      </c>
      <c r="N9" s="64">
        <v>2400</v>
      </c>
      <c r="O9" s="64">
        <f>SUMIF('Nursery 1 - Payments'!C5:C154,B9,'Nursery 1 - Payments'!F5:F154)</f>
        <v>0</v>
      </c>
      <c r="P9" s="65">
        <f t="shared" ref="P9:P16" si="1">IF(B9="","",IF(M9="",0,M9)-IF(N9="",0,N9)+IF(L9&lt;0,0,IF(L9="",0,L9))-IF(O9="",0,O9))</f>
        <v>350</v>
      </c>
      <c r="Q9" s="66" t="s">
        <v>228</v>
      </c>
    </row>
    <row r="10" spans="1:17" ht="30.95" customHeight="1" x14ac:dyDescent="0.25">
      <c r="A10" s="57">
        <v>6</v>
      </c>
      <c r="B10" s="58" t="s">
        <v>128</v>
      </c>
      <c r="C10" s="57" t="s">
        <v>48</v>
      </c>
      <c r="D10" s="59">
        <v>800</v>
      </c>
      <c r="E10" s="59"/>
      <c r="F10" s="59">
        <v>450</v>
      </c>
      <c r="G10" s="59">
        <f t="shared" si="0"/>
        <v>350</v>
      </c>
      <c r="H10" s="59">
        <v>2400</v>
      </c>
      <c r="I10" s="59">
        <v>350</v>
      </c>
      <c r="J10" s="59">
        <v>2400</v>
      </c>
      <c r="K10" s="59"/>
      <c r="L10" s="59">
        <f>IF(B10="","",IF(H10="",0,H10)+IF(I10="",0,I10)-IF(J10="",0,J10)-IF(K10="",0,K10))</f>
        <v>350</v>
      </c>
      <c r="M10" s="59">
        <v>2400</v>
      </c>
      <c r="N10" s="59">
        <v>2400</v>
      </c>
      <c r="O10" s="59">
        <f>SUMIF('Nursery 1 - Payments'!C5:C154,B10,'Nursery 1 - Payments'!F5:F154)</f>
        <v>0</v>
      </c>
      <c r="P10" s="60">
        <f t="shared" si="1"/>
        <v>350</v>
      </c>
      <c r="Q10" s="61" t="s">
        <v>228</v>
      </c>
    </row>
    <row r="11" spans="1:17" ht="30.6" customHeight="1" x14ac:dyDescent="0.25">
      <c r="A11" s="57">
        <v>7</v>
      </c>
      <c r="B11" s="58" t="s">
        <v>135</v>
      </c>
      <c r="C11" s="57" t="s">
        <v>98</v>
      </c>
      <c r="D11" s="59">
        <v>2160</v>
      </c>
      <c r="E11" s="59"/>
      <c r="F11" s="59">
        <v>2160</v>
      </c>
      <c r="G11" s="59">
        <f t="shared" si="0"/>
        <v>0</v>
      </c>
      <c r="H11" s="59">
        <v>2400</v>
      </c>
      <c r="I11" s="59"/>
      <c r="J11" s="59">
        <v>120</v>
      </c>
      <c r="K11" s="59">
        <v>2160</v>
      </c>
      <c r="L11" s="59">
        <v>0</v>
      </c>
      <c r="M11" s="59">
        <v>2400</v>
      </c>
      <c r="N11" s="59">
        <v>1240</v>
      </c>
      <c r="O11" s="59">
        <f>SUMIF('Nursery 1 - Payments'!C5:C154,B11,'Nursery 1 - Payments'!F5:F154)</f>
        <v>1160</v>
      </c>
      <c r="P11" s="60">
        <f t="shared" si="1"/>
        <v>0</v>
      </c>
      <c r="Q11" s="61" t="s">
        <v>231</v>
      </c>
    </row>
    <row r="12" spans="1:17" ht="29.45" customHeight="1" x14ac:dyDescent="0.25">
      <c r="A12" s="57">
        <v>8</v>
      </c>
      <c r="B12" s="63" t="s">
        <v>232</v>
      </c>
      <c r="C12" s="62"/>
      <c r="D12" s="64">
        <v>2400</v>
      </c>
      <c r="E12" s="64"/>
      <c r="F12" s="64">
        <v>2400</v>
      </c>
      <c r="G12" s="64">
        <f t="shared" si="0"/>
        <v>0</v>
      </c>
      <c r="H12" s="64">
        <v>2400</v>
      </c>
      <c r="I12" s="64"/>
      <c r="J12" s="64"/>
      <c r="K12" s="64">
        <v>2400</v>
      </c>
      <c r="L12" s="64">
        <f>IF(B12="","",IF(H12="",0,H12)+IF(I12="",0,I12)-IF(J12="",0,J12)-IF(K12="",0,K12))</f>
        <v>0</v>
      </c>
      <c r="M12" s="64">
        <v>2400</v>
      </c>
      <c r="N12" s="64"/>
      <c r="O12" s="64">
        <f>SUMIF('Nursery 1 - Payments'!C5:C154,B12,'Nursery 1 - Payments'!F5:F154)</f>
        <v>2400</v>
      </c>
      <c r="P12" s="65">
        <v>0</v>
      </c>
      <c r="Q12" s="66" t="s">
        <v>227</v>
      </c>
    </row>
    <row r="13" spans="1:17" ht="15" customHeight="1" x14ac:dyDescent="0.25">
      <c r="A13" s="57">
        <v>9</v>
      </c>
      <c r="B13" s="58" t="s">
        <v>233</v>
      </c>
      <c r="C13" s="57" t="s">
        <v>48</v>
      </c>
      <c r="D13" s="59">
        <v>2160</v>
      </c>
      <c r="E13" s="59"/>
      <c r="F13" s="59">
        <v>2160</v>
      </c>
      <c r="G13" s="59">
        <f t="shared" si="0"/>
        <v>0</v>
      </c>
      <c r="H13" s="59">
        <v>2400</v>
      </c>
      <c r="I13" s="59"/>
      <c r="J13" s="59">
        <v>240</v>
      </c>
      <c r="K13" s="59">
        <v>2160</v>
      </c>
      <c r="L13" s="59">
        <f>IF(B13="","",IF(H13="",0,H13)+IF(I13="",0,I13)-IF(J13="",0,J13)-IF(K13="",0,K13))</f>
        <v>0</v>
      </c>
      <c r="M13" s="59">
        <v>2400</v>
      </c>
      <c r="N13" s="59">
        <v>240</v>
      </c>
      <c r="O13" s="59">
        <f>SUMIF('Nursery 1 - Payments'!C5:C154,B13,'Nursery 1 - Payments'!F5:F154)</f>
        <v>2160</v>
      </c>
      <c r="P13" s="60">
        <f t="shared" si="1"/>
        <v>0</v>
      </c>
      <c r="Q13" s="61" t="s">
        <v>230</v>
      </c>
    </row>
    <row r="14" spans="1:17" ht="29.25" customHeight="1" x14ac:dyDescent="0.25">
      <c r="A14" s="57">
        <v>10</v>
      </c>
      <c r="B14" s="63" t="s">
        <v>234</v>
      </c>
      <c r="C14" s="62" t="s">
        <v>48</v>
      </c>
      <c r="D14" s="64">
        <v>800</v>
      </c>
      <c r="E14" s="64"/>
      <c r="F14" s="64">
        <v>500</v>
      </c>
      <c r="G14" s="64">
        <f t="shared" si="0"/>
        <v>300</v>
      </c>
      <c r="H14" s="64">
        <v>2400</v>
      </c>
      <c r="I14" s="64">
        <v>300</v>
      </c>
      <c r="J14" s="64">
        <v>2400</v>
      </c>
      <c r="K14" s="64">
        <v>300</v>
      </c>
      <c r="L14" s="64">
        <f>IF(B14="","",IF(H14="",0,H14)+IF(I14="",0,I14)-IF(J14="",0,J14)-IF(K14="",0,K14))</f>
        <v>0</v>
      </c>
      <c r="M14" s="64">
        <v>2400</v>
      </c>
      <c r="N14" s="64">
        <v>2400</v>
      </c>
      <c r="O14" s="64">
        <f>SUMIF('Nursery 1 - Payments'!C5:C154,B14,'Nursery 1 - Payments'!F5:F154)</f>
        <v>0</v>
      </c>
      <c r="P14" s="65">
        <f t="shared" si="1"/>
        <v>0</v>
      </c>
      <c r="Q14" s="66" t="s">
        <v>235</v>
      </c>
    </row>
    <row r="15" spans="1:17" ht="30" customHeight="1" x14ac:dyDescent="0.25">
      <c r="A15" s="57">
        <v>11</v>
      </c>
      <c r="B15" s="58" t="s">
        <v>236</v>
      </c>
      <c r="C15" s="57" t="s">
        <v>98</v>
      </c>
      <c r="D15" s="59">
        <v>2280</v>
      </c>
      <c r="E15" s="59"/>
      <c r="F15" s="59">
        <v>2000</v>
      </c>
      <c r="G15" s="59">
        <f t="shared" si="0"/>
        <v>280</v>
      </c>
      <c r="H15" s="59">
        <v>2400</v>
      </c>
      <c r="I15" s="59"/>
      <c r="J15" s="59">
        <v>120</v>
      </c>
      <c r="K15" s="59">
        <v>2280</v>
      </c>
      <c r="L15" s="59">
        <f>IF(B15="","",IF(H15="",0,H15)+IF(I15="",0,I15)-IF(J15="",0,J15)-IF(K15="",0,K15))</f>
        <v>0</v>
      </c>
      <c r="M15" s="59">
        <v>4800</v>
      </c>
      <c r="N15" s="59">
        <v>240</v>
      </c>
      <c r="O15" s="59">
        <f>SUMIF('Nursery 1 - Payments'!C5:C154,B15,'Nursery 1 - Payments'!F5:F154)</f>
        <v>4560</v>
      </c>
      <c r="P15" s="60">
        <f t="shared" si="1"/>
        <v>0</v>
      </c>
      <c r="Q15" s="61" t="s">
        <v>227</v>
      </c>
    </row>
    <row r="16" spans="1:17" ht="30.6" customHeight="1" x14ac:dyDescent="0.25">
      <c r="A16" s="57">
        <v>12</v>
      </c>
      <c r="B16" s="63" t="s">
        <v>237</v>
      </c>
      <c r="C16" s="62" t="s">
        <v>98</v>
      </c>
      <c r="D16" s="64">
        <v>2280</v>
      </c>
      <c r="E16" s="64"/>
      <c r="F16" s="64">
        <v>2280</v>
      </c>
      <c r="G16" s="64">
        <f t="shared" si="0"/>
        <v>0</v>
      </c>
      <c r="H16" s="64">
        <v>2400</v>
      </c>
      <c r="I16" s="64"/>
      <c r="J16" s="64">
        <v>120</v>
      </c>
      <c r="K16" s="64">
        <v>2280</v>
      </c>
      <c r="L16" s="64">
        <f>IF(B16="","",IF(H16="",0,H16)+IF(I16="",0,I16)-IF(J16="",0,J16)-IF(K16="",0,K16))</f>
        <v>0</v>
      </c>
      <c r="M16" s="64">
        <v>2400</v>
      </c>
      <c r="N16" s="64">
        <v>120</v>
      </c>
      <c r="O16" s="64">
        <v>2280</v>
      </c>
      <c r="P16" s="65">
        <f t="shared" si="1"/>
        <v>0</v>
      </c>
      <c r="Q16" s="66" t="s">
        <v>227</v>
      </c>
    </row>
    <row r="17" spans="1:17" ht="15" customHeight="1" x14ac:dyDescent="0.25">
      <c r="A17" s="57">
        <v>13</v>
      </c>
      <c r="B17" s="58"/>
      <c r="C17" s="57"/>
      <c r="D17" s="59"/>
      <c r="E17" s="59"/>
      <c r="F17" s="59"/>
      <c r="G17" s="59" t="str">
        <f t="shared" ref="G17:G26" si="2">IF(B17="","",0)</f>
        <v/>
      </c>
      <c r="H17" s="59"/>
      <c r="I17" s="59"/>
      <c r="J17" s="59"/>
      <c r="K17" s="59"/>
      <c r="L17" s="59" t="str">
        <f t="shared" ref="L17:L26" si="3">IF(B17="","",0)</f>
        <v/>
      </c>
      <c r="M17" s="59"/>
      <c r="N17" s="59"/>
      <c r="O17" s="59"/>
      <c r="P17" s="59" t="str">
        <f t="shared" ref="P17:P26" si="4">IF(B17="","",0)</f>
        <v/>
      </c>
      <c r="Q17" s="61"/>
    </row>
    <row r="18" spans="1:17" ht="15" customHeight="1" x14ac:dyDescent="0.25">
      <c r="A18" s="57">
        <v>14</v>
      </c>
      <c r="B18" s="63"/>
      <c r="C18" s="62"/>
      <c r="D18" s="64"/>
      <c r="E18" s="64"/>
      <c r="F18" s="64"/>
      <c r="G18" s="64" t="str">
        <f t="shared" si="2"/>
        <v/>
      </c>
      <c r="H18" s="64"/>
      <c r="I18" s="64"/>
      <c r="J18" s="64"/>
      <c r="K18" s="64"/>
      <c r="L18" s="64" t="str">
        <f t="shared" si="3"/>
        <v/>
      </c>
      <c r="M18" s="64"/>
      <c r="N18" s="64"/>
      <c r="O18" s="64"/>
      <c r="P18" s="64" t="str">
        <f t="shared" si="4"/>
        <v/>
      </c>
      <c r="Q18" s="66"/>
    </row>
    <row r="19" spans="1:17" ht="15" customHeight="1" x14ac:dyDescent="0.25">
      <c r="A19" s="57">
        <v>15</v>
      </c>
      <c r="B19" s="58"/>
      <c r="C19" s="57"/>
      <c r="D19" s="59"/>
      <c r="E19" s="59"/>
      <c r="F19" s="59"/>
      <c r="G19" s="59" t="str">
        <f t="shared" si="2"/>
        <v/>
      </c>
      <c r="H19" s="59"/>
      <c r="I19" s="59"/>
      <c r="J19" s="59"/>
      <c r="K19" s="59"/>
      <c r="L19" s="59" t="str">
        <f t="shared" si="3"/>
        <v/>
      </c>
      <c r="M19" s="59"/>
      <c r="N19" s="59"/>
      <c r="O19" s="59"/>
      <c r="P19" s="59" t="str">
        <f t="shared" si="4"/>
        <v/>
      </c>
      <c r="Q19" s="61"/>
    </row>
    <row r="20" spans="1:17" ht="15" customHeight="1" x14ac:dyDescent="0.25">
      <c r="A20" s="57">
        <v>16</v>
      </c>
      <c r="B20" s="63"/>
      <c r="C20" s="62"/>
      <c r="D20" s="64"/>
      <c r="E20" s="64"/>
      <c r="F20" s="64"/>
      <c r="G20" s="64" t="str">
        <f t="shared" si="2"/>
        <v/>
      </c>
      <c r="H20" s="64"/>
      <c r="I20" s="64"/>
      <c r="J20" s="64"/>
      <c r="K20" s="64"/>
      <c r="L20" s="64" t="str">
        <f t="shared" si="3"/>
        <v/>
      </c>
      <c r="M20" s="64"/>
      <c r="N20" s="64"/>
      <c r="O20" s="64"/>
      <c r="P20" s="64" t="str">
        <f t="shared" si="4"/>
        <v/>
      </c>
      <c r="Q20" s="66"/>
    </row>
    <row r="21" spans="1:17" ht="15" customHeight="1" x14ac:dyDescent="0.25">
      <c r="A21" s="57">
        <v>17</v>
      </c>
      <c r="B21" s="58"/>
      <c r="C21" s="57"/>
      <c r="D21" s="59"/>
      <c r="E21" s="59"/>
      <c r="F21" s="59"/>
      <c r="G21" s="59" t="str">
        <f t="shared" si="2"/>
        <v/>
      </c>
      <c r="H21" s="59"/>
      <c r="I21" s="59"/>
      <c r="J21" s="59"/>
      <c r="K21" s="59"/>
      <c r="L21" s="59" t="str">
        <f t="shared" si="3"/>
        <v/>
      </c>
      <c r="M21" s="59"/>
      <c r="N21" s="59"/>
      <c r="O21" s="59"/>
      <c r="P21" s="59" t="str">
        <f t="shared" si="4"/>
        <v/>
      </c>
      <c r="Q21" s="61"/>
    </row>
    <row r="22" spans="1:17" ht="15" customHeight="1" x14ac:dyDescent="0.25">
      <c r="A22" s="57">
        <v>18</v>
      </c>
      <c r="B22" s="63"/>
      <c r="C22" s="62"/>
      <c r="D22" s="64"/>
      <c r="E22" s="64"/>
      <c r="F22" s="64"/>
      <c r="G22" s="64" t="str">
        <f t="shared" si="2"/>
        <v/>
      </c>
      <c r="H22" s="64"/>
      <c r="I22" s="64"/>
      <c r="J22" s="64"/>
      <c r="K22" s="64"/>
      <c r="L22" s="64" t="str">
        <f t="shared" si="3"/>
        <v/>
      </c>
      <c r="M22" s="64"/>
      <c r="N22" s="64"/>
      <c r="O22" s="64"/>
      <c r="P22" s="64" t="str">
        <f t="shared" si="4"/>
        <v/>
      </c>
      <c r="Q22" s="66"/>
    </row>
    <row r="23" spans="1:17" ht="15" customHeight="1" x14ac:dyDescent="0.25">
      <c r="A23" s="57">
        <v>19</v>
      </c>
      <c r="B23" s="58"/>
      <c r="C23" s="57"/>
      <c r="D23" s="59"/>
      <c r="E23" s="59"/>
      <c r="F23" s="59"/>
      <c r="G23" s="59" t="str">
        <f t="shared" si="2"/>
        <v/>
      </c>
      <c r="H23" s="59"/>
      <c r="I23" s="59"/>
      <c r="J23" s="59"/>
      <c r="K23" s="59"/>
      <c r="L23" s="59" t="str">
        <f t="shared" si="3"/>
        <v/>
      </c>
      <c r="M23" s="59"/>
      <c r="N23" s="59"/>
      <c r="O23" s="59"/>
      <c r="P23" s="59" t="str">
        <f t="shared" si="4"/>
        <v/>
      </c>
      <c r="Q23" s="61"/>
    </row>
    <row r="24" spans="1:17" ht="15" customHeight="1" x14ac:dyDescent="0.25">
      <c r="A24" s="57">
        <v>20</v>
      </c>
      <c r="B24" s="63"/>
      <c r="C24" s="62"/>
      <c r="D24" s="64"/>
      <c r="E24" s="64"/>
      <c r="F24" s="64"/>
      <c r="G24" s="64" t="str">
        <f t="shared" si="2"/>
        <v/>
      </c>
      <c r="H24" s="64"/>
      <c r="I24" s="64"/>
      <c r="J24" s="64"/>
      <c r="K24" s="64"/>
      <c r="L24" s="64" t="str">
        <f t="shared" si="3"/>
        <v/>
      </c>
      <c r="M24" s="64"/>
      <c r="N24" s="64"/>
      <c r="O24" s="64"/>
      <c r="P24" s="64" t="str">
        <f t="shared" si="4"/>
        <v/>
      </c>
      <c r="Q24" s="66"/>
    </row>
    <row r="25" spans="1:17" ht="15" customHeight="1" x14ac:dyDescent="0.25">
      <c r="A25" s="57">
        <v>21</v>
      </c>
      <c r="B25" s="58"/>
      <c r="C25" s="57"/>
      <c r="D25" s="59"/>
      <c r="E25" s="59"/>
      <c r="F25" s="59"/>
      <c r="G25" s="59" t="str">
        <f t="shared" si="2"/>
        <v/>
      </c>
      <c r="H25" s="59"/>
      <c r="I25" s="59"/>
      <c r="J25" s="59"/>
      <c r="K25" s="59"/>
      <c r="L25" s="59" t="str">
        <f t="shared" si="3"/>
        <v/>
      </c>
      <c r="M25" s="59"/>
      <c r="N25" s="59"/>
      <c r="O25" s="59"/>
      <c r="P25" s="59" t="str">
        <f t="shared" si="4"/>
        <v/>
      </c>
      <c r="Q25" s="61"/>
    </row>
    <row r="26" spans="1:17" ht="15" customHeight="1" x14ac:dyDescent="0.25">
      <c r="A26" s="57">
        <v>22</v>
      </c>
      <c r="B26" s="63"/>
      <c r="C26" s="62"/>
      <c r="D26" s="64"/>
      <c r="E26" s="64"/>
      <c r="F26" s="64"/>
      <c r="G26" s="64" t="str">
        <f t="shared" si="2"/>
        <v/>
      </c>
      <c r="H26" s="64"/>
      <c r="I26" s="64"/>
      <c r="J26" s="64"/>
      <c r="K26" s="64"/>
      <c r="L26" s="64" t="str">
        <f t="shared" si="3"/>
        <v/>
      </c>
      <c r="M26" s="64"/>
      <c r="N26" s="64"/>
      <c r="O26" s="64"/>
      <c r="P26" s="64" t="str">
        <f t="shared" si="4"/>
        <v/>
      </c>
      <c r="Q26" s="66"/>
    </row>
    <row r="27" spans="1:17" ht="15" customHeight="1" x14ac:dyDescent="0.25">
      <c r="A27" s="28"/>
      <c r="B27" s="28" t="s">
        <v>84</v>
      </c>
      <c r="C27" s="28"/>
      <c r="D27" s="29">
        <f t="shared" ref="D27:P27" si="5">SUM(D5:D26)</f>
        <v>20535</v>
      </c>
      <c r="E27" s="29">
        <f t="shared" si="5"/>
        <v>3820</v>
      </c>
      <c r="F27" s="29">
        <f t="shared" si="5"/>
        <v>18980</v>
      </c>
      <c r="G27" s="29">
        <f t="shared" si="5"/>
        <v>5375</v>
      </c>
      <c r="H27" s="29">
        <f t="shared" si="5"/>
        <v>26400</v>
      </c>
      <c r="I27" s="29">
        <f t="shared" si="5"/>
        <v>4100</v>
      </c>
      <c r="J27" s="29">
        <f t="shared" si="5"/>
        <v>8280</v>
      </c>
      <c r="K27" s="29">
        <f t="shared" si="5"/>
        <v>18020</v>
      </c>
      <c r="L27" s="29">
        <f t="shared" si="5"/>
        <v>4080</v>
      </c>
      <c r="M27" s="29">
        <f t="shared" si="5"/>
        <v>30840</v>
      </c>
      <c r="N27" s="29">
        <f t="shared" si="5"/>
        <v>11920</v>
      </c>
      <c r="O27" s="29">
        <f t="shared" si="5"/>
        <v>19500</v>
      </c>
      <c r="P27" s="29">
        <f t="shared" si="5"/>
        <v>3620</v>
      </c>
      <c r="Q27" s="61"/>
    </row>
    <row r="28" spans="1:17" ht="15" customHeight="1" x14ac:dyDescent="0.25">
      <c r="B28" s="67" t="s">
        <v>169</v>
      </c>
      <c r="F28" s="68" t="s">
        <v>170</v>
      </c>
      <c r="G28" s="69">
        <f>IF(D27+E27=0,1,F27/(D27+E27))</f>
        <v>0.77930609731061384</v>
      </c>
      <c r="K28" s="68" t="s">
        <v>171</v>
      </c>
      <c r="L28" s="70">
        <f>IF(H27+I27-J27=0,1,K27/(H27+I27-J27))</f>
        <v>0.810981098109811</v>
      </c>
      <c r="O28" s="71">
        <f>SUMIF('Nursery 1 - Payments'!C5:C154,B28,'Nursery 1 - Payments'!F5:F154)</f>
        <v>0</v>
      </c>
      <c r="Q28" s="66"/>
    </row>
  </sheetData>
  <mergeCells count="5">
    <mergeCell ref="A1:O1"/>
    <mergeCell ref="A3:C3"/>
    <mergeCell ref="D3:G3"/>
    <mergeCell ref="H3:L3"/>
    <mergeCell ref="M3:P3"/>
  </mergeCells>
  <dataValidations count="1">
    <dataValidation type="list" allowBlank="1" showInputMessage="1" showErrorMessage="1" errorTitle="Invalid Entry" error="Select from: None, Founding Family, Sibling, Sibling 2nd, Sibling 3rd, Staff Child, or Waiver." promptTitle="Discount Type" prompt="Select discount type or &quot;None&quot; for full-fee pupils." sqref="C5:C26" xr:uid="{00000000-0002-0000-0400-000000000000}">
      <formula1>"None,Founding Family,Sibling,Sibling 2nd,Sibling 3rd,Staff Child,Waiver"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D4A2D"/>
  </sheetPr>
  <dimension ref="A1:P182"/>
  <sheetViews>
    <sheetView zoomScaleNormal="100" workbookViewId="0">
      <pane xSplit="2" ySplit="4" topLeftCell="C17" activePane="bottomRight" state="frozen"/>
      <selection pane="topRight" activeCell="C1" sqref="C1"/>
      <selection pane="bottomLeft" activeCell="A5" sqref="A5"/>
      <selection pane="bottomRight" activeCell="C30" sqref="C30"/>
    </sheetView>
  </sheetViews>
  <sheetFormatPr defaultColWidth="8.7109375" defaultRowHeight="15" x14ac:dyDescent="0.25"/>
  <cols>
    <col min="1" max="1" width="12" customWidth="1"/>
    <col min="2" max="2" width="13" customWidth="1"/>
    <col min="3" max="3" width="30" customWidth="1"/>
    <col min="4" max="4" width="19.28515625" customWidth="1"/>
    <col min="5" max="5" width="18" customWidth="1"/>
    <col min="6" max="6" width="14" customWidth="1"/>
    <col min="7" max="7" width="20" customWidth="1"/>
    <col min="8" max="8" width="31.28515625" customWidth="1"/>
    <col min="9" max="9" width="14" customWidth="1"/>
    <col min="10" max="10" width="10" customWidth="1"/>
    <col min="11" max="11" width="28" customWidth="1"/>
    <col min="16" max="16" width="13" hidden="1" customWidth="1"/>
  </cols>
  <sheetData>
    <row r="1" spans="1:16" ht="25.5" customHeight="1" x14ac:dyDescent="0.25">
      <c r="A1" s="119" t="s">
        <v>238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P1" t="s">
        <v>124</v>
      </c>
    </row>
    <row r="2" spans="1:16" ht="15" customHeight="1" x14ac:dyDescent="0.25">
      <c r="A2" s="131" t="s">
        <v>173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P2" t="s">
        <v>97</v>
      </c>
    </row>
    <row r="3" spans="1:16" ht="15" customHeight="1" x14ac:dyDescent="0.25">
      <c r="A3" s="132" t="s">
        <v>174</v>
      </c>
      <c r="B3" s="132"/>
      <c r="C3" s="132"/>
      <c r="D3" s="132"/>
      <c r="E3" s="132"/>
      <c r="F3" s="132"/>
      <c r="G3" s="135" t="s">
        <v>175</v>
      </c>
      <c r="H3" s="135"/>
      <c r="I3" s="135"/>
      <c r="J3" s="134" t="s">
        <v>176</v>
      </c>
      <c r="K3" s="134"/>
      <c r="P3" t="s">
        <v>226</v>
      </c>
    </row>
    <row r="4" spans="1:16" ht="25.5" customHeight="1" x14ac:dyDescent="0.25">
      <c r="A4" s="2" t="s">
        <v>177</v>
      </c>
      <c r="B4" s="2" t="s">
        <v>178</v>
      </c>
      <c r="C4" s="2" t="s">
        <v>88</v>
      </c>
      <c r="D4" s="2" t="s">
        <v>179</v>
      </c>
      <c r="E4" s="2" t="s">
        <v>180</v>
      </c>
      <c r="F4" s="2" t="s">
        <v>181</v>
      </c>
      <c r="G4" s="12" t="s">
        <v>182</v>
      </c>
      <c r="H4" s="12" t="s">
        <v>183</v>
      </c>
      <c r="I4" s="12" t="s">
        <v>184</v>
      </c>
      <c r="J4" s="8" t="s">
        <v>185</v>
      </c>
      <c r="K4" s="8" t="s">
        <v>36</v>
      </c>
      <c r="P4" t="s">
        <v>126</v>
      </c>
    </row>
    <row r="5" spans="1:16" ht="15" customHeight="1" x14ac:dyDescent="0.25">
      <c r="A5" s="72">
        <v>46114</v>
      </c>
      <c r="B5" s="57">
        <v>1028</v>
      </c>
      <c r="C5" s="58" t="s">
        <v>124</v>
      </c>
      <c r="D5" s="57" t="s">
        <v>336</v>
      </c>
      <c r="E5" s="57"/>
      <c r="F5" s="59">
        <v>360</v>
      </c>
      <c r="G5" s="57" t="s">
        <v>189</v>
      </c>
      <c r="H5" s="58" t="s">
        <v>337</v>
      </c>
      <c r="I5" s="97">
        <f>IF(F5="","",F5)</f>
        <v>360</v>
      </c>
      <c r="J5" s="57"/>
      <c r="K5" s="58"/>
      <c r="P5" t="s">
        <v>128</v>
      </c>
    </row>
    <row r="6" spans="1:16" ht="15" customHeight="1" x14ac:dyDescent="0.25">
      <c r="A6" s="74">
        <v>46122</v>
      </c>
      <c r="B6" s="62">
        <v>1036</v>
      </c>
      <c r="C6" s="63" t="s">
        <v>135</v>
      </c>
      <c r="D6" s="62" t="s">
        <v>342</v>
      </c>
      <c r="E6" s="62" t="s">
        <v>347</v>
      </c>
      <c r="F6" s="64">
        <v>1000</v>
      </c>
      <c r="G6" s="62" t="s">
        <v>191</v>
      </c>
      <c r="H6" s="63" t="s">
        <v>337</v>
      </c>
      <c r="I6" s="98">
        <f t="shared" ref="I6:I37" si="0">IF(F6="","",IF(I5="",F6,I5+F6))</f>
        <v>1360</v>
      </c>
      <c r="J6" s="62"/>
      <c r="K6" s="63"/>
      <c r="P6" t="s">
        <v>229</v>
      </c>
    </row>
    <row r="7" spans="1:16" ht="15" customHeight="1" x14ac:dyDescent="0.25">
      <c r="A7" s="72">
        <v>46127</v>
      </c>
      <c r="B7" s="57">
        <v>1039</v>
      </c>
      <c r="C7" s="58" t="s">
        <v>135</v>
      </c>
      <c r="D7" s="57" t="s">
        <v>342</v>
      </c>
      <c r="E7" s="57" t="s">
        <v>347</v>
      </c>
      <c r="F7" s="59">
        <v>160</v>
      </c>
      <c r="G7" s="57" t="s">
        <v>191</v>
      </c>
      <c r="H7" s="58" t="s">
        <v>337</v>
      </c>
      <c r="I7" s="97">
        <f t="shared" si="0"/>
        <v>1520</v>
      </c>
      <c r="J7" s="57"/>
      <c r="K7" s="58"/>
      <c r="P7" t="s">
        <v>135</v>
      </c>
    </row>
    <row r="8" spans="1:16" ht="15" customHeight="1" x14ac:dyDescent="0.25">
      <c r="A8" s="74">
        <v>46132</v>
      </c>
      <c r="B8" s="62">
        <v>1045</v>
      </c>
      <c r="C8" s="63" t="s">
        <v>226</v>
      </c>
      <c r="D8" s="62" t="s">
        <v>342</v>
      </c>
      <c r="E8" s="62" t="s">
        <v>196</v>
      </c>
      <c r="F8" s="64">
        <v>2280</v>
      </c>
      <c r="G8" s="62" t="s">
        <v>191</v>
      </c>
      <c r="H8" s="63" t="s">
        <v>337</v>
      </c>
      <c r="I8" s="98">
        <f t="shared" si="0"/>
        <v>3800</v>
      </c>
      <c r="J8" s="62"/>
      <c r="K8" s="63"/>
      <c r="P8" t="s">
        <v>232</v>
      </c>
    </row>
    <row r="9" spans="1:16" ht="15" customHeight="1" x14ac:dyDescent="0.25">
      <c r="A9" s="72">
        <v>46139</v>
      </c>
      <c r="B9" s="57">
        <v>1054</v>
      </c>
      <c r="C9" s="58" t="s">
        <v>240</v>
      </c>
      <c r="D9" s="57" t="s">
        <v>342</v>
      </c>
      <c r="E9" s="57" t="s">
        <v>196</v>
      </c>
      <c r="F9" s="59">
        <v>2280</v>
      </c>
      <c r="G9" s="57" t="s">
        <v>191</v>
      </c>
      <c r="H9" s="58" t="s">
        <v>337</v>
      </c>
      <c r="I9" s="97">
        <f t="shared" si="0"/>
        <v>6080</v>
      </c>
      <c r="J9" s="57"/>
      <c r="K9" s="58"/>
      <c r="P9" t="s">
        <v>233</v>
      </c>
    </row>
    <row r="10" spans="1:16" ht="15" customHeight="1" x14ac:dyDescent="0.25">
      <c r="A10" s="74">
        <v>46149</v>
      </c>
      <c r="B10" s="62">
        <v>1068</v>
      </c>
      <c r="C10" s="63" t="s">
        <v>355</v>
      </c>
      <c r="D10" s="62" t="s">
        <v>342</v>
      </c>
      <c r="E10" s="62" t="s">
        <v>198</v>
      </c>
      <c r="F10" s="64">
        <v>650</v>
      </c>
      <c r="G10" s="62" t="s">
        <v>189</v>
      </c>
      <c r="H10" s="63" t="s">
        <v>337</v>
      </c>
      <c r="I10" s="98">
        <f t="shared" si="0"/>
        <v>6730</v>
      </c>
      <c r="J10" s="62"/>
      <c r="K10" s="63"/>
      <c r="P10" t="s">
        <v>239</v>
      </c>
    </row>
    <row r="11" spans="1:16" ht="15" customHeight="1" x14ac:dyDescent="0.25">
      <c r="A11" s="72">
        <v>46162</v>
      </c>
      <c r="B11" s="57">
        <v>1080</v>
      </c>
      <c r="C11" s="58" t="s">
        <v>236</v>
      </c>
      <c r="D11" s="57" t="s">
        <v>342</v>
      </c>
      <c r="E11" s="57" t="s">
        <v>200</v>
      </c>
      <c r="F11" s="59">
        <v>2450</v>
      </c>
      <c r="G11" s="57" t="s">
        <v>191</v>
      </c>
      <c r="H11" s="58" t="s">
        <v>337</v>
      </c>
      <c r="I11" s="97">
        <f t="shared" si="0"/>
        <v>9180</v>
      </c>
      <c r="J11" s="57"/>
      <c r="K11" s="58"/>
      <c r="P11" t="s">
        <v>236</v>
      </c>
    </row>
    <row r="12" spans="1:16" ht="15" customHeight="1" x14ac:dyDescent="0.25">
      <c r="A12" s="74">
        <v>46163</v>
      </c>
      <c r="B12" s="62">
        <v>1083</v>
      </c>
      <c r="C12" s="63" t="s">
        <v>232</v>
      </c>
      <c r="D12" s="62" t="s">
        <v>342</v>
      </c>
      <c r="E12" s="62" t="s">
        <v>200</v>
      </c>
      <c r="F12" s="64">
        <v>2400</v>
      </c>
      <c r="G12" s="62" t="s">
        <v>191</v>
      </c>
      <c r="H12" s="63" t="s">
        <v>337</v>
      </c>
      <c r="I12" s="98">
        <f t="shared" si="0"/>
        <v>11580</v>
      </c>
      <c r="J12" s="62"/>
      <c r="K12" s="63"/>
      <c r="P12" t="s">
        <v>240</v>
      </c>
    </row>
    <row r="13" spans="1:16" ht="15" customHeight="1" x14ac:dyDescent="0.25">
      <c r="A13" s="72">
        <v>46175</v>
      </c>
      <c r="B13" s="57">
        <v>1104</v>
      </c>
      <c r="C13" s="58" t="s">
        <v>229</v>
      </c>
      <c r="D13" s="57" t="s">
        <v>342</v>
      </c>
      <c r="E13" s="57" t="s">
        <v>202</v>
      </c>
      <c r="F13" s="59">
        <v>1000</v>
      </c>
      <c r="G13" s="57" t="s">
        <v>189</v>
      </c>
      <c r="H13" s="58" t="s">
        <v>337</v>
      </c>
      <c r="I13" s="97">
        <f t="shared" si="0"/>
        <v>12580</v>
      </c>
      <c r="J13" s="57"/>
      <c r="K13" s="58"/>
    </row>
    <row r="14" spans="1:16" ht="15" customHeight="1" x14ac:dyDescent="0.25">
      <c r="A14" s="74">
        <v>46166</v>
      </c>
      <c r="B14" s="62">
        <v>1103</v>
      </c>
      <c r="C14" s="63" t="s">
        <v>233</v>
      </c>
      <c r="D14" s="62" t="s">
        <v>342</v>
      </c>
      <c r="E14" s="62" t="s">
        <v>201</v>
      </c>
      <c r="F14" s="64">
        <v>1000</v>
      </c>
      <c r="G14" s="62" t="s">
        <v>191</v>
      </c>
      <c r="H14" s="63" t="s">
        <v>337</v>
      </c>
      <c r="I14" s="98">
        <f t="shared" si="0"/>
        <v>13580</v>
      </c>
      <c r="J14" s="62"/>
      <c r="K14" s="63"/>
    </row>
    <row r="15" spans="1:16" ht="15" customHeight="1" x14ac:dyDescent="0.25">
      <c r="A15" s="72">
        <v>46182</v>
      </c>
      <c r="B15" s="57">
        <v>1110</v>
      </c>
      <c r="C15" s="58" t="s">
        <v>229</v>
      </c>
      <c r="D15" s="57" t="s">
        <v>342</v>
      </c>
      <c r="E15" s="57" t="s">
        <v>203</v>
      </c>
      <c r="F15" s="59">
        <v>1000</v>
      </c>
      <c r="G15" s="57" t="s">
        <v>338</v>
      </c>
      <c r="H15" s="58" t="s">
        <v>337</v>
      </c>
      <c r="I15" s="97">
        <f t="shared" si="0"/>
        <v>14580</v>
      </c>
      <c r="J15" s="57"/>
      <c r="K15" s="58"/>
    </row>
    <row r="16" spans="1:16" ht="15" customHeight="1" x14ac:dyDescent="0.25">
      <c r="A16" s="74" t="s">
        <v>359</v>
      </c>
      <c r="B16" s="62">
        <v>1100</v>
      </c>
      <c r="C16" s="63" t="s">
        <v>233</v>
      </c>
      <c r="D16" s="62" t="s">
        <v>342</v>
      </c>
      <c r="E16" s="62" t="s">
        <v>201</v>
      </c>
      <c r="F16" s="64">
        <v>1160</v>
      </c>
      <c r="G16" s="62" t="s">
        <v>191</v>
      </c>
      <c r="H16" s="63" t="s">
        <v>337</v>
      </c>
      <c r="I16" s="98">
        <f t="shared" si="0"/>
        <v>15740</v>
      </c>
      <c r="J16" s="62"/>
      <c r="K16" s="63"/>
    </row>
    <row r="17" spans="1:11" ht="15.75" customHeight="1" x14ac:dyDescent="0.25">
      <c r="A17" s="72">
        <v>46197</v>
      </c>
      <c r="B17" s="57">
        <v>1130</v>
      </c>
      <c r="C17" s="58" t="s">
        <v>236</v>
      </c>
      <c r="D17" s="57" t="s">
        <v>342</v>
      </c>
      <c r="E17" s="57" t="s">
        <v>207</v>
      </c>
      <c r="F17" s="59">
        <v>2110</v>
      </c>
      <c r="G17" s="57" t="s">
        <v>191</v>
      </c>
      <c r="H17" s="58" t="s">
        <v>343</v>
      </c>
      <c r="I17" s="97">
        <f>IF(F17="","",IF(I16="",F17,I16+F17))</f>
        <v>17850</v>
      </c>
      <c r="J17" s="57"/>
      <c r="K17" s="58"/>
    </row>
    <row r="18" spans="1:11" ht="15" customHeight="1" x14ac:dyDescent="0.25">
      <c r="A18" s="74">
        <v>46209</v>
      </c>
      <c r="B18" s="62">
        <v>1127</v>
      </c>
      <c r="C18" s="63" t="s">
        <v>124</v>
      </c>
      <c r="D18" s="62" t="s">
        <v>342</v>
      </c>
      <c r="E18" s="62" t="s">
        <v>207</v>
      </c>
      <c r="F18" s="64">
        <v>1500</v>
      </c>
      <c r="G18" s="62" t="s">
        <v>189</v>
      </c>
      <c r="H18" s="63" t="s">
        <v>343</v>
      </c>
      <c r="I18" s="98">
        <f t="shared" si="0"/>
        <v>19350</v>
      </c>
      <c r="J18" s="62"/>
      <c r="K18" s="63"/>
    </row>
    <row r="19" spans="1:11" ht="15" customHeight="1" x14ac:dyDescent="0.25">
      <c r="A19" s="72" t="s">
        <v>363</v>
      </c>
      <c r="B19" s="57">
        <v>1135</v>
      </c>
      <c r="C19" s="58" t="s">
        <v>97</v>
      </c>
      <c r="D19" s="57" t="s">
        <v>336</v>
      </c>
      <c r="E19" s="57" t="s">
        <v>207</v>
      </c>
      <c r="F19" s="59">
        <v>1500</v>
      </c>
      <c r="G19" s="57" t="s">
        <v>338</v>
      </c>
      <c r="H19" s="58" t="s">
        <v>337</v>
      </c>
      <c r="I19" s="97">
        <f>IF(F19="","",IF(I18="",F19,I18+F19))</f>
        <v>20850</v>
      </c>
      <c r="J19" s="57"/>
      <c r="K19" s="58"/>
    </row>
    <row r="20" spans="1:11" ht="15" customHeight="1" x14ac:dyDescent="0.25">
      <c r="A20" s="74" t="s">
        <v>395</v>
      </c>
      <c r="B20" s="62">
        <v>1143</v>
      </c>
      <c r="C20" s="63" t="s">
        <v>124</v>
      </c>
      <c r="D20" s="62" t="s">
        <v>342</v>
      </c>
      <c r="E20" s="62" t="s">
        <v>209</v>
      </c>
      <c r="F20" s="64">
        <v>400</v>
      </c>
      <c r="G20" s="62" t="s">
        <v>189</v>
      </c>
      <c r="H20" s="63" t="s">
        <v>337</v>
      </c>
      <c r="I20" s="98">
        <f t="shared" si="0"/>
        <v>21250</v>
      </c>
      <c r="J20" s="62"/>
      <c r="K20" s="63"/>
    </row>
    <row r="21" spans="1:11" ht="15" customHeight="1" x14ac:dyDescent="0.25">
      <c r="A21" s="72">
        <v>46225</v>
      </c>
      <c r="B21" s="57">
        <v>1148</v>
      </c>
      <c r="C21" s="58" t="s">
        <v>124</v>
      </c>
      <c r="D21" s="57" t="s">
        <v>342</v>
      </c>
      <c r="E21" s="57" t="s">
        <v>210</v>
      </c>
      <c r="F21" s="59">
        <v>260</v>
      </c>
      <c r="G21" s="57" t="s">
        <v>338</v>
      </c>
      <c r="H21" s="58" t="s">
        <v>343</v>
      </c>
      <c r="I21" s="97">
        <f t="shared" si="0"/>
        <v>21510</v>
      </c>
      <c r="J21" s="57"/>
      <c r="K21" s="58"/>
    </row>
    <row r="22" spans="1:11" ht="15" customHeight="1" x14ac:dyDescent="0.25">
      <c r="A22" s="74" t="s">
        <v>396</v>
      </c>
      <c r="B22" s="62">
        <v>1148</v>
      </c>
      <c r="C22" s="63" t="s">
        <v>97</v>
      </c>
      <c r="D22" s="62" t="s">
        <v>336</v>
      </c>
      <c r="E22" s="62" t="s">
        <v>210</v>
      </c>
      <c r="F22" s="64">
        <v>1000</v>
      </c>
      <c r="G22" s="62" t="s">
        <v>189</v>
      </c>
      <c r="H22" s="63" t="s">
        <v>343</v>
      </c>
      <c r="I22" s="98">
        <f t="shared" si="0"/>
        <v>22510</v>
      </c>
      <c r="J22" s="62"/>
      <c r="K22" s="63"/>
    </row>
    <row r="23" spans="1:11" ht="15" customHeight="1" x14ac:dyDescent="0.25">
      <c r="A23" s="72"/>
      <c r="B23" s="57"/>
      <c r="C23" s="58"/>
      <c r="D23" s="57"/>
      <c r="E23" s="57"/>
      <c r="F23" s="59"/>
      <c r="G23" s="57"/>
      <c r="H23" s="58"/>
      <c r="I23" s="97" t="str">
        <f t="shared" si="0"/>
        <v/>
      </c>
      <c r="J23" s="57"/>
      <c r="K23" s="58"/>
    </row>
    <row r="24" spans="1:11" ht="15" customHeight="1" x14ac:dyDescent="0.25">
      <c r="A24" s="74"/>
      <c r="B24" s="62"/>
      <c r="C24" s="63"/>
      <c r="D24" s="62"/>
      <c r="E24" s="62"/>
      <c r="F24" s="64"/>
      <c r="G24" s="62"/>
      <c r="H24" s="63"/>
      <c r="I24" s="98" t="str">
        <f t="shared" si="0"/>
        <v/>
      </c>
      <c r="J24" s="62"/>
      <c r="K24" s="63"/>
    </row>
    <row r="25" spans="1:11" ht="15" customHeight="1" x14ac:dyDescent="0.25">
      <c r="A25" s="72"/>
      <c r="B25" s="57"/>
      <c r="C25" s="58"/>
      <c r="D25" s="57"/>
      <c r="E25" s="57"/>
      <c r="F25" s="59"/>
      <c r="G25" s="57"/>
      <c r="H25" s="58"/>
      <c r="I25" s="97" t="str">
        <f t="shared" si="0"/>
        <v/>
      </c>
      <c r="J25" s="57"/>
      <c r="K25" s="58"/>
    </row>
    <row r="26" spans="1:11" ht="15" customHeight="1" x14ac:dyDescent="0.25">
      <c r="A26" s="74"/>
      <c r="B26" s="62"/>
      <c r="C26" s="63"/>
      <c r="D26" s="62"/>
      <c r="E26" s="62"/>
      <c r="F26" s="64"/>
      <c r="G26" s="62"/>
      <c r="H26" s="63"/>
      <c r="I26" s="98" t="str">
        <f t="shared" si="0"/>
        <v/>
      </c>
      <c r="J26" s="62"/>
      <c r="K26" s="63"/>
    </row>
    <row r="27" spans="1:11" ht="15" customHeight="1" x14ac:dyDescent="0.25">
      <c r="A27" s="72"/>
      <c r="B27" s="57"/>
      <c r="C27" s="58"/>
      <c r="D27" s="57"/>
      <c r="E27" s="57"/>
      <c r="F27" s="59"/>
      <c r="G27" s="57"/>
      <c r="H27" s="58"/>
      <c r="I27" s="97" t="str">
        <f t="shared" si="0"/>
        <v/>
      </c>
      <c r="J27" s="57"/>
      <c r="K27" s="58"/>
    </row>
    <row r="28" spans="1:11" ht="15" customHeight="1" x14ac:dyDescent="0.25">
      <c r="A28" s="74"/>
      <c r="B28" s="62"/>
      <c r="C28" s="63"/>
      <c r="D28" s="62"/>
      <c r="E28" s="62"/>
      <c r="F28" s="64"/>
      <c r="G28" s="62"/>
      <c r="H28" s="63"/>
      <c r="I28" s="98" t="str">
        <f t="shared" si="0"/>
        <v/>
      </c>
      <c r="J28" s="62"/>
      <c r="K28" s="63"/>
    </row>
    <row r="29" spans="1:11" ht="15" customHeight="1" x14ac:dyDescent="0.25">
      <c r="A29" s="72"/>
      <c r="B29" s="57"/>
      <c r="C29" s="58"/>
      <c r="D29" s="57"/>
      <c r="E29" s="57"/>
      <c r="F29" s="59"/>
      <c r="G29" s="57"/>
      <c r="H29" s="58"/>
      <c r="I29" s="97" t="str">
        <f t="shared" si="0"/>
        <v/>
      </c>
      <c r="J29" s="57"/>
      <c r="K29" s="58"/>
    </row>
    <row r="30" spans="1:11" ht="15" customHeight="1" x14ac:dyDescent="0.25">
      <c r="A30" s="74"/>
      <c r="B30" s="62"/>
      <c r="C30" s="63"/>
      <c r="D30" s="62"/>
      <c r="E30" s="62"/>
      <c r="F30" s="64"/>
      <c r="G30" s="62"/>
      <c r="H30" s="63"/>
      <c r="I30" s="98" t="str">
        <f t="shared" si="0"/>
        <v/>
      </c>
      <c r="J30" s="62"/>
      <c r="K30" s="63"/>
    </row>
    <row r="31" spans="1:11" ht="15" customHeight="1" x14ac:dyDescent="0.25">
      <c r="A31" s="72"/>
      <c r="B31" s="57"/>
      <c r="C31" s="58"/>
      <c r="D31" s="57"/>
      <c r="E31" s="57"/>
      <c r="F31" s="59"/>
      <c r="G31" s="57"/>
      <c r="H31" s="58"/>
      <c r="I31" s="97" t="str">
        <f t="shared" si="0"/>
        <v/>
      </c>
      <c r="J31" s="57"/>
      <c r="K31" s="58"/>
    </row>
    <row r="32" spans="1:11" ht="15" customHeight="1" x14ac:dyDescent="0.25">
      <c r="A32" s="74"/>
      <c r="B32" s="62"/>
      <c r="C32" s="63"/>
      <c r="D32" s="62"/>
      <c r="E32" s="62"/>
      <c r="F32" s="64"/>
      <c r="G32" s="62"/>
      <c r="H32" s="63"/>
      <c r="I32" s="98" t="str">
        <f t="shared" si="0"/>
        <v/>
      </c>
      <c r="J32" s="62"/>
      <c r="K32" s="63"/>
    </row>
    <row r="33" spans="1:11" ht="15" customHeight="1" x14ac:dyDescent="0.25">
      <c r="A33" s="72"/>
      <c r="B33" s="57"/>
      <c r="C33" s="58"/>
      <c r="D33" s="57"/>
      <c r="E33" s="57"/>
      <c r="F33" s="59"/>
      <c r="G33" s="57"/>
      <c r="H33" s="58"/>
      <c r="I33" s="97" t="str">
        <f t="shared" si="0"/>
        <v/>
      </c>
      <c r="J33" s="57"/>
      <c r="K33" s="58"/>
    </row>
    <row r="34" spans="1:11" ht="15" customHeight="1" x14ac:dyDescent="0.25">
      <c r="A34" s="74"/>
      <c r="B34" s="62"/>
      <c r="C34" s="63"/>
      <c r="D34" s="62"/>
      <c r="E34" s="62"/>
      <c r="F34" s="64"/>
      <c r="G34" s="62"/>
      <c r="H34" s="63"/>
      <c r="I34" s="98" t="str">
        <f t="shared" si="0"/>
        <v/>
      </c>
      <c r="J34" s="62"/>
      <c r="K34" s="63"/>
    </row>
    <row r="35" spans="1:11" ht="15" customHeight="1" x14ac:dyDescent="0.25">
      <c r="A35" s="72"/>
      <c r="B35" s="57"/>
      <c r="C35" s="58"/>
      <c r="D35" s="57"/>
      <c r="E35" s="57"/>
      <c r="F35" s="59"/>
      <c r="G35" s="57"/>
      <c r="H35" s="58"/>
      <c r="I35" s="97" t="str">
        <f t="shared" si="0"/>
        <v/>
      </c>
      <c r="J35" s="57"/>
      <c r="K35" s="58"/>
    </row>
    <row r="36" spans="1:11" ht="15" customHeight="1" x14ac:dyDescent="0.25">
      <c r="A36" s="74"/>
      <c r="B36" s="62"/>
      <c r="C36" s="63"/>
      <c r="D36" s="62"/>
      <c r="E36" s="62"/>
      <c r="F36" s="64"/>
      <c r="G36" s="62"/>
      <c r="H36" s="63"/>
      <c r="I36" s="98" t="str">
        <f t="shared" si="0"/>
        <v/>
      </c>
      <c r="J36" s="62"/>
      <c r="K36" s="63"/>
    </row>
    <row r="37" spans="1:11" ht="15" customHeight="1" x14ac:dyDescent="0.25">
      <c r="A37" s="72"/>
      <c r="B37" s="57"/>
      <c r="C37" s="58"/>
      <c r="D37" s="57"/>
      <c r="E37" s="57"/>
      <c r="F37" s="59"/>
      <c r="G37" s="57"/>
      <c r="H37" s="58"/>
      <c r="I37" s="97" t="str">
        <f t="shared" si="0"/>
        <v/>
      </c>
      <c r="J37" s="57"/>
      <c r="K37" s="58"/>
    </row>
    <row r="38" spans="1:11" ht="15" customHeight="1" x14ac:dyDescent="0.25">
      <c r="A38" s="74"/>
      <c r="B38" s="62"/>
      <c r="C38" s="63"/>
      <c r="D38" s="62"/>
      <c r="E38" s="62"/>
      <c r="F38" s="64"/>
      <c r="G38" s="62"/>
      <c r="H38" s="63"/>
      <c r="I38" s="98" t="str">
        <f t="shared" ref="I38:I69" si="1">IF(F38="","",IF(I37="",F38,I37+F38))</f>
        <v/>
      </c>
      <c r="J38" s="62"/>
      <c r="K38" s="63"/>
    </row>
    <row r="39" spans="1:11" ht="15" customHeight="1" x14ac:dyDescent="0.25">
      <c r="A39" s="72"/>
      <c r="B39" s="57"/>
      <c r="C39" s="58"/>
      <c r="D39" s="57"/>
      <c r="E39" s="57"/>
      <c r="F39" s="59"/>
      <c r="G39" s="57"/>
      <c r="H39" s="58"/>
      <c r="I39" s="97" t="str">
        <f t="shared" si="1"/>
        <v/>
      </c>
      <c r="J39" s="57"/>
      <c r="K39" s="58"/>
    </row>
    <row r="40" spans="1:11" ht="15" customHeight="1" x14ac:dyDescent="0.25">
      <c r="A40" s="74"/>
      <c r="B40" s="62"/>
      <c r="C40" s="63"/>
      <c r="D40" s="62"/>
      <c r="E40" s="62"/>
      <c r="F40" s="64"/>
      <c r="G40" s="62"/>
      <c r="H40" s="63"/>
      <c r="I40" s="98" t="str">
        <f t="shared" si="1"/>
        <v/>
      </c>
      <c r="J40" s="62"/>
      <c r="K40" s="63"/>
    </row>
    <row r="41" spans="1:11" ht="15" customHeight="1" x14ac:dyDescent="0.25">
      <c r="A41" s="72"/>
      <c r="B41" s="57"/>
      <c r="C41" s="58"/>
      <c r="D41" s="57"/>
      <c r="E41" s="57"/>
      <c r="F41" s="59"/>
      <c r="G41" s="57"/>
      <c r="H41" s="58"/>
      <c r="I41" s="97" t="str">
        <f t="shared" si="1"/>
        <v/>
      </c>
      <c r="J41" s="57"/>
      <c r="K41" s="58"/>
    </row>
    <row r="42" spans="1:11" ht="15" customHeight="1" x14ac:dyDescent="0.25">
      <c r="A42" s="74"/>
      <c r="B42" s="62"/>
      <c r="C42" s="63"/>
      <c r="D42" s="62"/>
      <c r="E42" s="62"/>
      <c r="F42" s="64"/>
      <c r="G42" s="62"/>
      <c r="H42" s="63"/>
      <c r="I42" s="98" t="str">
        <f t="shared" si="1"/>
        <v/>
      </c>
      <c r="J42" s="62"/>
      <c r="K42" s="63"/>
    </row>
    <row r="43" spans="1:11" ht="15" customHeight="1" x14ac:dyDescent="0.25">
      <c r="A43" s="72"/>
      <c r="B43" s="57"/>
      <c r="C43" s="58"/>
      <c r="D43" s="57"/>
      <c r="E43" s="57"/>
      <c r="F43" s="59"/>
      <c r="G43" s="57"/>
      <c r="H43" s="58"/>
      <c r="I43" s="97" t="str">
        <f t="shared" si="1"/>
        <v/>
      </c>
      <c r="J43" s="57"/>
      <c r="K43" s="58"/>
    </row>
    <row r="44" spans="1:11" ht="15" customHeight="1" x14ac:dyDescent="0.25">
      <c r="A44" s="74"/>
      <c r="B44" s="62"/>
      <c r="C44" s="63"/>
      <c r="D44" s="62"/>
      <c r="E44" s="62"/>
      <c r="F44" s="64"/>
      <c r="G44" s="62"/>
      <c r="H44" s="63"/>
      <c r="I44" s="98" t="str">
        <f t="shared" si="1"/>
        <v/>
      </c>
      <c r="J44" s="62"/>
      <c r="K44" s="63"/>
    </row>
    <row r="45" spans="1:11" ht="15" customHeight="1" x14ac:dyDescent="0.25">
      <c r="A45" s="72"/>
      <c r="B45" s="57"/>
      <c r="C45" s="58"/>
      <c r="D45" s="57"/>
      <c r="E45" s="57"/>
      <c r="F45" s="59"/>
      <c r="G45" s="57"/>
      <c r="H45" s="58"/>
      <c r="I45" s="97" t="str">
        <f t="shared" si="1"/>
        <v/>
      </c>
      <c r="J45" s="57"/>
      <c r="K45" s="58"/>
    </row>
    <row r="46" spans="1:11" ht="15" customHeight="1" x14ac:dyDescent="0.25">
      <c r="A46" s="74"/>
      <c r="B46" s="62"/>
      <c r="C46" s="63"/>
      <c r="D46" s="62"/>
      <c r="E46" s="62"/>
      <c r="F46" s="64"/>
      <c r="G46" s="62"/>
      <c r="H46" s="63"/>
      <c r="I46" s="98" t="str">
        <f t="shared" si="1"/>
        <v/>
      </c>
      <c r="J46" s="62"/>
      <c r="K46" s="63"/>
    </row>
    <row r="47" spans="1:11" ht="15" customHeight="1" x14ac:dyDescent="0.25">
      <c r="A47" s="72"/>
      <c r="B47" s="57"/>
      <c r="C47" s="58"/>
      <c r="D47" s="57"/>
      <c r="E47" s="57"/>
      <c r="F47" s="59"/>
      <c r="G47" s="57"/>
      <c r="H47" s="58"/>
      <c r="I47" s="97" t="str">
        <f t="shared" si="1"/>
        <v/>
      </c>
      <c r="J47" s="57"/>
      <c r="K47" s="58"/>
    </row>
    <row r="48" spans="1:11" ht="15" customHeight="1" x14ac:dyDescent="0.25">
      <c r="A48" s="74"/>
      <c r="B48" s="62"/>
      <c r="C48" s="63"/>
      <c r="D48" s="62"/>
      <c r="E48" s="62"/>
      <c r="F48" s="64"/>
      <c r="G48" s="62"/>
      <c r="H48" s="63"/>
      <c r="I48" s="98" t="str">
        <f t="shared" si="1"/>
        <v/>
      </c>
      <c r="J48" s="62"/>
      <c r="K48" s="63"/>
    </row>
    <row r="49" spans="1:11" ht="15" customHeight="1" x14ac:dyDescent="0.25">
      <c r="A49" s="72"/>
      <c r="B49" s="57"/>
      <c r="C49" s="58"/>
      <c r="D49" s="57"/>
      <c r="E49" s="57"/>
      <c r="F49" s="59"/>
      <c r="G49" s="57"/>
      <c r="H49" s="58"/>
      <c r="I49" s="97" t="str">
        <f t="shared" si="1"/>
        <v/>
      </c>
      <c r="J49" s="57"/>
      <c r="K49" s="58"/>
    </row>
    <row r="50" spans="1:11" ht="15" customHeight="1" x14ac:dyDescent="0.25">
      <c r="A50" s="74"/>
      <c r="B50" s="62"/>
      <c r="C50" s="63"/>
      <c r="D50" s="62"/>
      <c r="E50" s="62"/>
      <c r="F50" s="64"/>
      <c r="G50" s="62"/>
      <c r="H50" s="63"/>
      <c r="I50" s="98" t="str">
        <f t="shared" si="1"/>
        <v/>
      </c>
      <c r="J50" s="62"/>
      <c r="K50" s="63"/>
    </row>
    <row r="51" spans="1:11" ht="15" customHeight="1" x14ac:dyDescent="0.25">
      <c r="A51" s="72"/>
      <c r="B51" s="57"/>
      <c r="C51" s="58"/>
      <c r="D51" s="57"/>
      <c r="E51" s="57"/>
      <c r="F51" s="59"/>
      <c r="G51" s="57"/>
      <c r="H51" s="58"/>
      <c r="I51" s="97" t="str">
        <f t="shared" si="1"/>
        <v/>
      </c>
      <c r="J51" s="57"/>
      <c r="K51" s="58"/>
    </row>
    <row r="52" spans="1:11" ht="15" customHeight="1" x14ac:dyDescent="0.25">
      <c r="A52" s="74"/>
      <c r="B52" s="62"/>
      <c r="C52" s="63"/>
      <c r="D52" s="62"/>
      <c r="E52" s="62"/>
      <c r="F52" s="64"/>
      <c r="G52" s="62"/>
      <c r="H52" s="63"/>
      <c r="I52" s="98" t="str">
        <f t="shared" si="1"/>
        <v/>
      </c>
      <c r="J52" s="62"/>
      <c r="K52" s="63"/>
    </row>
    <row r="53" spans="1:11" ht="15" customHeight="1" x14ac:dyDescent="0.25">
      <c r="A53" s="72"/>
      <c r="B53" s="57"/>
      <c r="C53" s="58"/>
      <c r="D53" s="57"/>
      <c r="E53" s="57"/>
      <c r="F53" s="59"/>
      <c r="G53" s="57"/>
      <c r="H53" s="58"/>
      <c r="I53" s="97" t="str">
        <f t="shared" si="1"/>
        <v/>
      </c>
      <c r="J53" s="57"/>
      <c r="K53" s="58"/>
    </row>
    <row r="54" spans="1:11" ht="15" customHeight="1" x14ac:dyDescent="0.25">
      <c r="A54" s="74"/>
      <c r="B54" s="62"/>
      <c r="C54" s="63"/>
      <c r="D54" s="62"/>
      <c r="E54" s="62"/>
      <c r="F54" s="64"/>
      <c r="G54" s="62"/>
      <c r="H54" s="63"/>
      <c r="I54" s="98" t="str">
        <f t="shared" si="1"/>
        <v/>
      </c>
      <c r="J54" s="62"/>
      <c r="K54" s="63"/>
    </row>
    <row r="55" spans="1:11" ht="15" customHeight="1" x14ac:dyDescent="0.25">
      <c r="A55" s="72"/>
      <c r="B55" s="57"/>
      <c r="C55" s="58"/>
      <c r="D55" s="57"/>
      <c r="E55" s="57"/>
      <c r="F55" s="59"/>
      <c r="G55" s="57"/>
      <c r="H55" s="58"/>
      <c r="I55" s="97" t="str">
        <f t="shared" si="1"/>
        <v/>
      </c>
      <c r="J55" s="57"/>
      <c r="K55" s="58"/>
    </row>
    <row r="56" spans="1:11" ht="15" customHeight="1" x14ac:dyDescent="0.25">
      <c r="A56" s="74"/>
      <c r="B56" s="62"/>
      <c r="C56" s="63"/>
      <c r="D56" s="62"/>
      <c r="E56" s="62"/>
      <c r="F56" s="64"/>
      <c r="G56" s="62"/>
      <c r="H56" s="63"/>
      <c r="I56" s="98" t="str">
        <f t="shared" si="1"/>
        <v/>
      </c>
      <c r="J56" s="62"/>
      <c r="K56" s="63"/>
    </row>
    <row r="57" spans="1:11" ht="15" customHeight="1" x14ac:dyDescent="0.25">
      <c r="A57" s="72"/>
      <c r="B57" s="57"/>
      <c r="C57" s="58"/>
      <c r="D57" s="57"/>
      <c r="E57" s="57"/>
      <c r="F57" s="59"/>
      <c r="G57" s="57"/>
      <c r="H57" s="58"/>
      <c r="I57" s="97" t="str">
        <f t="shared" si="1"/>
        <v/>
      </c>
      <c r="J57" s="57"/>
      <c r="K57" s="58"/>
    </row>
    <row r="58" spans="1:11" ht="15" customHeight="1" x14ac:dyDescent="0.25">
      <c r="A58" s="74"/>
      <c r="B58" s="62"/>
      <c r="C58" s="63"/>
      <c r="D58" s="62"/>
      <c r="E58" s="62"/>
      <c r="F58" s="64"/>
      <c r="G58" s="62"/>
      <c r="H58" s="63"/>
      <c r="I58" s="98" t="str">
        <f t="shared" si="1"/>
        <v/>
      </c>
      <c r="J58" s="62"/>
      <c r="K58" s="63"/>
    </row>
    <row r="59" spans="1:11" ht="15" customHeight="1" x14ac:dyDescent="0.25">
      <c r="A59" s="72"/>
      <c r="B59" s="57"/>
      <c r="C59" s="58"/>
      <c r="D59" s="57"/>
      <c r="E59" s="57"/>
      <c r="F59" s="59"/>
      <c r="G59" s="57"/>
      <c r="H59" s="58"/>
      <c r="I59" s="97" t="str">
        <f t="shared" si="1"/>
        <v/>
      </c>
      <c r="J59" s="57"/>
      <c r="K59" s="58"/>
    </row>
    <row r="60" spans="1:11" ht="15" customHeight="1" x14ac:dyDescent="0.25">
      <c r="A60" s="74"/>
      <c r="B60" s="62"/>
      <c r="C60" s="63"/>
      <c r="D60" s="62"/>
      <c r="E60" s="62"/>
      <c r="F60" s="64"/>
      <c r="G60" s="62"/>
      <c r="H60" s="63"/>
      <c r="I60" s="98" t="str">
        <f t="shared" si="1"/>
        <v/>
      </c>
      <c r="J60" s="62"/>
      <c r="K60" s="63"/>
    </row>
    <row r="61" spans="1:11" ht="15" customHeight="1" x14ac:dyDescent="0.25">
      <c r="A61" s="72"/>
      <c r="B61" s="57"/>
      <c r="C61" s="58"/>
      <c r="D61" s="57"/>
      <c r="E61" s="57"/>
      <c r="F61" s="59"/>
      <c r="G61" s="57"/>
      <c r="H61" s="58"/>
      <c r="I61" s="97" t="str">
        <f t="shared" si="1"/>
        <v/>
      </c>
      <c r="J61" s="57"/>
      <c r="K61" s="58"/>
    </row>
    <row r="62" spans="1:11" ht="15" customHeight="1" x14ac:dyDescent="0.25">
      <c r="A62" s="74"/>
      <c r="B62" s="62"/>
      <c r="C62" s="63"/>
      <c r="D62" s="62"/>
      <c r="E62" s="62"/>
      <c r="F62" s="64"/>
      <c r="G62" s="62"/>
      <c r="H62" s="63"/>
      <c r="I62" s="98" t="str">
        <f t="shared" si="1"/>
        <v/>
      </c>
      <c r="J62" s="62"/>
      <c r="K62" s="63"/>
    </row>
    <row r="63" spans="1:11" ht="15" customHeight="1" x14ac:dyDescent="0.25">
      <c r="A63" s="72"/>
      <c r="B63" s="57"/>
      <c r="C63" s="58"/>
      <c r="D63" s="57"/>
      <c r="E63" s="57"/>
      <c r="F63" s="59"/>
      <c r="G63" s="57"/>
      <c r="H63" s="58"/>
      <c r="I63" s="97" t="str">
        <f t="shared" si="1"/>
        <v/>
      </c>
      <c r="J63" s="57"/>
      <c r="K63" s="58"/>
    </row>
    <row r="64" spans="1:11" ht="15" customHeight="1" x14ac:dyDescent="0.25">
      <c r="A64" s="74"/>
      <c r="B64" s="62"/>
      <c r="C64" s="63"/>
      <c r="D64" s="62"/>
      <c r="E64" s="62"/>
      <c r="F64" s="64"/>
      <c r="G64" s="62"/>
      <c r="H64" s="63"/>
      <c r="I64" s="98" t="str">
        <f t="shared" si="1"/>
        <v/>
      </c>
      <c r="J64" s="62"/>
      <c r="K64" s="63"/>
    </row>
    <row r="65" spans="1:11" ht="15" customHeight="1" x14ac:dyDescent="0.25">
      <c r="A65" s="72"/>
      <c r="B65" s="57"/>
      <c r="C65" s="58"/>
      <c r="D65" s="57"/>
      <c r="E65" s="57"/>
      <c r="F65" s="59"/>
      <c r="G65" s="57"/>
      <c r="H65" s="58"/>
      <c r="I65" s="97" t="str">
        <f t="shared" si="1"/>
        <v/>
      </c>
      <c r="J65" s="57"/>
      <c r="K65" s="58"/>
    </row>
    <row r="66" spans="1:11" ht="15" customHeight="1" x14ac:dyDescent="0.25">
      <c r="A66" s="74"/>
      <c r="B66" s="62"/>
      <c r="C66" s="63"/>
      <c r="D66" s="62"/>
      <c r="E66" s="62"/>
      <c r="F66" s="64"/>
      <c r="G66" s="62"/>
      <c r="H66" s="63"/>
      <c r="I66" s="98" t="str">
        <f t="shared" si="1"/>
        <v/>
      </c>
      <c r="J66" s="62"/>
      <c r="K66" s="63"/>
    </row>
    <row r="67" spans="1:11" ht="15" customHeight="1" x14ac:dyDescent="0.25">
      <c r="A67" s="72"/>
      <c r="B67" s="57"/>
      <c r="C67" s="58"/>
      <c r="D67" s="57"/>
      <c r="E67" s="57"/>
      <c r="F67" s="59"/>
      <c r="G67" s="57"/>
      <c r="H67" s="58"/>
      <c r="I67" s="97" t="str">
        <f t="shared" si="1"/>
        <v/>
      </c>
      <c r="J67" s="57"/>
      <c r="K67" s="58"/>
    </row>
    <row r="68" spans="1:11" ht="15" customHeight="1" x14ac:dyDescent="0.25">
      <c r="A68" s="74"/>
      <c r="B68" s="62"/>
      <c r="C68" s="63"/>
      <c r="D68" s="62"/>
      <c r="E68" s="62"/>
      <c r="F68" s="64"/>
      <c r="G68" s="62"/>
      <c r="H68" s="63"/>
      <c r="I68" s="98" t="str">
        <f t="shared" si="1"/>
        <v/>
      </c>
      <c r="J68" s="62"/>
      <c r="K68" s="63"/>
    </row>
    <row r="69" spans="1:11" ht="15" customHeight="1" x14ac:dyDescent="0.25">
      <c r="A69" s="72"/>
      <c r="B69" s="57"/>
      <c r="C69" s="58"/>
      <c r="D69" s="57"/>
      <c r="E69" s="57"/>
      <c r="F69" s="59"/>
      <c r="G69" s="57"/>
      <c r="H69" s="58"/>
      <c r="I69" s="97" t="str">
        <f t="shared" si="1"/>
        <v/>
      </c>
      <c r="J69" s="57"/>
      <c r="K69" s="58"/>
    </row>
    <row r="70" spans="1:11" ht="15" customHeight="1" x14ac:dyDescent="0.25">
      <c r="A70" s="74"/>
      <c r="B70" s="62"/>
      <c r="C70" s="63"/>
      <c r="D70" s="62"/>
      <c r="E70" s="62"/>
      <c r="F70" s="64"/>
      <c r="G70" s="62"/>
      <c r="H70" s="63"/>
      <c r="I70" s="98" t="str">
        <f t="shared" ref="I70:I101" si="2">IF(F70="","",IF(I69="",F70,I69+F70))</f>
        <v/>
      </c>
      <c r="J70" s="62"/>
      <c r="K70" s="63"/>
    </row>
    <row r="71" spans="1:11" ht="15" customHeight="1" x14ac:dyDescent="0.25">
      <c r="A71" s="72"/>
      <c r="B71" s="57"/>
      <c r="C71" s="58"/>
      <c r="D71" s="57"/>
      <c r="E71" s="57"/>
      <c r="F71" s="59"/>
      <c r="G71" s="57"/>
      <c r="H71" s="58"/>
      <c r="I71" s="97" t="str">
        <f t="shared" si="2"/>
        <v/>
      </c>
      <c r="J71" s="57"/>
      <c r="K71" s="58"/>
    </row>
    <row r="72" spans="1:11" ht="15" customHeight="1" x14ac:dyDescent="0.25">
      <c r="A72" s="74"/>
      <c r="B72" s="62"/>
      <c r="C72" s="63"/>
      <c r="D72" s="62"/>
      <c r="E72" s="62"/>
      <c r="F72" s="64"/>
      <c r="G72" s="62"/>
      <c r="H72" s="63"/>
      <c r="I72" s="98" t="str">
        <f t="shared" si="2"/>
        <v/>
      </c>
      <c r="J72" s="62"/>
      <c r="K72" s="63"/>
    </row>
    <row r="73" spans="1:11" ht="15" customHeight="1" x14ac:dyDescent="0.25">
      <c r="A73" s="72"/>
      <c r="B73" s="57"/>
      <c r="C73" s="58"/>
      <c r="D73" s="57"/>
      <c r="E73" s="57"/>
      <c r="F73" s="59"/>
      <c r="G73" s="57"/>
      <c r="H73" s="58"/>
      <c r="I73" s="97" t="str">
        <f t="shared" si="2"/>
        <v/>
      </c>
      <c r="J73" s="57"/>
      <c r="K73" s="58"/>
    </row>
    <row r="74" spans="1:11" ht="15" customHeight="1" x14ac:dyDescent="0.25">
      <c r="A74" s="74"/>
      <c r="B74" s="62"/>
      <c r="C74" s="63"/>
      <c r="D74" s="62"/>
      <c r="E74" s="62"/>
      <c r="F74" s="64"/>
      <c r="G74" s="62"/>
      <c r="H74" s="63"/>
      <c r="I74" s="98" t="str">
        <f t="shared" si="2"/>
        <v/>
      </c>
      <c r="J74" s="62"/>
      <c r="K74" s="63"/>
    </row>
    <row r="75" spans="1:11" ht="15" customHeight="1" x14ac:dyDescent="0.25">
      <c r="A75" s="72"/>
      <c r="B75" s="57"/>
      <c r="C75" s="58"/>
      <c r="D75" s="57"/>
      <c r="E75" s="57"/>
      <c r="F75" s="59"/>
      <c r="G75" s="57"/>
      <c r="H75" s="58"/>
      <c r="I75" s="97" t="str">
        <f t="shared" si="2"/>
        <v/>
      </c>
      <c r="J75" s="57"/>
      <c r="K75" s="58"/>
    </row>
    <row r="76" spans="1:11" ht="15" customHeight="1" x14ac:dyDescent="0.25">
      <c r="A76" s="74"/>
      <c r="B76" s="62"/>
      <c r="C76" s="63"/>
      <c r="D76" s="62"/>
      <c r="E76" s="62"/>
      <c r="F76" s="64"/>
      <c r="G76" s="62"/>
      <c r="H76" s="63"/>
      <c r="I76" s="98" t="str">
        <f t="shared" si="2"/>
        <v/>
      </c>
      <c r="J76" s="62"/>
      <c r="K76" s="63"/>
    </row>
    <row r="77" spans="1:11" ht="15" customHeight="1" x14ac:dyDescent="0.25">
      <c r="A77" s="72"/>
      <c r="B77" s="57"/>
      <c r="C77" s="58"/>
      <c r="D77" s="57"/>
      <c r="E77" s="57"/>
      <c r="F77" s="59"/>
      <c r="G77" s="57"/>
      <c r="H77" s="58"/>
      <c r="I77" s="97" t="str">
        <f t="shared" si="2"/>
        <v/>
      </c>
      <c r="J77" s="57"/>
      <c r="K77" s="58"/>
    </row>
    <row r="78" spans="1:11" ht="15" customHeight="1" x14ac:dyDescent="0.25">
      <c r="A78" s="74"/>
      <c r="B78" s="62"/>
      <c r="C78" s="63"/>
      <c r="D78" s="62"/>
      <c r="E78" s="62"/>
      <c r="F78" s="64"/>
      <c r="G78" s="62"/>
      <c r="H78" s="63"/>
      <c r="I78" s="98" t="str">
        <f t="shared" si="2"/>
        <v/>
      </c>
      <c r="J78" s="62"/>
      <c r="K78" s="63"/>
    </row>
    <row r="79" spans="1:11" ht="15" customHeight="1" x14ac:dyDescent="0.25">
      <c r="A79" s="72"/>
      <c r="B79" s="57"/>
      <c r="C79" s="58"/>
      <c r="D79" s="57"/>
      <c r="E79" s="57"/>
      <c r="F79" s="59"/>
      <c r="G79" s="57"/>
      <c r="H79" s="58"/>
      <c r="I79" s="97" t="str">
        <f t="shared" si="2"/>
        <v/>
      </c>
      <c r="J79" s="57"/>
      <c r="K79" s="58"/>
    </row>
    <row r="80" spans="1:11" ht="15" customHeight="1" x14ac:dyDescent="0.25">
      <c r="A80" s="74"/>
      <c r="B80" s="62"/>
      <c r="C80" s="63"/>
      <c r="D80" s="62"/>
      <c r="E80" s="62"/>
      <c r="F80" s="64"/>
      <c r="G80" s="62"/>
      <c r="H80" s="63"/>
      <c r="I80" s="98" t="str">
        <f t="shared" si="2"/>
        <v/>
      </c>
      <c r="J80" s="62"/>
      <c r="K80" s="63"/>
    </row>
    <row r="81" spans="1:11" ht="15" customHeight="1" x14ac:dyDescent="0.25">
      <c r="A81" s="72"/>
      <c r="B81" s="57"/>
      <c r="C81" s="58"/>
      <c r="D81" s="57"/>
      <c r="E81" s="57"/>
      <c r="F81" s="59"/>
      <c r="G81" s="57"/>
      <c r="H81" s="58"/>
      <c r="I81" s="97" t="str">
        <f t="shared" si="2"/>
        <v/>
      </c>
      <c r="J81" s="57"/>
      <c r="K81" s="58"/>
    </row>
    <row r="82" spans="1:11" ht="15" customHeight="1" x14ac:dyDescent="0.25">
      <c r="A82" s="74"/>
      <c r="B82" s="62"/>
      <c r="C82" s="63"/>
      <c r="D82" s="62"/>
      <c r="E82" s="62"/>
      <c r="F82" s="64"/>
      <c r="G82" s="62"/>
      <c r="H82" s="63"/>
      <c r="I82" s="98" t="str">
        <f t="shared" si="2"/>
        <v/>
      </c>
      <c r="J82" s="62"/>
      <c r="K82" s="63"/>
    </row>
    <row r="83" spans="1:11" ht="15" customHeight="1" x14ac:dyDescent="0.25">
      <c r="A83" s="72"/>
      <c r="B83" s="57"/>
      <c r="C83" s="58"/>
      <c r="D83" s="57"/>
      <c r="E83" s="57"/>
      <c r="F83" s="59"/>
      <c r="G83" s="57"/>
      <c r="H83" s="58"/>
      <c r="I83" s="97" t="str">
        <f t="shared" si="2"/>
        <v/>
      </c>
      <c r="J83" s="57"/>
      <c r="K83" s="58"/>
    </row>
    <row r="84" spans="1:11" ht="15" customHeight="1" x14ac:dyDescent="0.25">
      <c r="A84" s="74"/>
      <c r="B84" s="62"/>
      <c r="C84" s="63"/>
      <c r="D84" s="62"/>
      <c r="E84" s="62"/>
      <c r="F84" s="64"/>
      <c r="G84" s="62"/>
      <c r="H84" s="63"/>
      <c r="I84" s="98" t="str">
        <f t="shared" si="2"/>
        <v/>
      </c>
      <c r="J84" s="62"/>
      <c r="K84" s="63"/>
    </row>
    <row r="85" spans="1:11" ht="15" customHeight="1" x14ac:dyDescent="0.25">
      <c r="A85" s="72"/>
      <c r="B85" s="57"/>
      <c r="C85" s="58"/>
      <c r="D85" s="57"/>
      <c r="E85" s="57"/>
      <c r="F85" s="59"/>
      <c r="G85" s="57"/>
      <c r="H85" s="58"/>
      <c r="I85" s="97" t="str">
        <f t="shared" si="2"/>
        <v/>
      </c>
      <c r="J85" s="57"/>
      <c r="K85" s="58"/>
    </row>
    <row r="86" spans="1:11" ht="15" customHeight="1" x14ac:dyDescent="0.25">
      <c r="A86" s="74"/>
      <c r="B86" s="62"/>
      <c r="C86" s="63"/>
      <c r="D86" s="62"/>
      <c r="E86" s="62"/>
      <c r="F86" s="64"/>
      <c r="G86" s="62"/>
      <c r="H86" s="63"/>
      <c r="I86" s="98" t="str">
        <f t="shared" si="2"/>
        <v/>
      </c>
      <c r="J86" s="62"/>
      <c r="K86" s="63"/>
    </row>
    <row r="87" spans="1:11" ht="15" customHeight="1" x14ac:dyDescent="0.25">
      <c r="A87" s="72"/>
      <c r="B87" s="57"/>
      <c r="C87" s="58"/>
      <c r="D87" s="57"/>
      <c r="E87" s="57"/>
      <c r="F87" s="59"/>
      <c r="G87" s="57"/>
      <c r="H87" s="58"/>
      <c r="I87" s="97" t="str">
        <f t="shared" si="2"/>
        <v/>
      </c>
      <c r="J87" s="57"/>
      <c r="K87" s="58"/>
    </row>
    <row r="88" spans="1:11" ht="15" customHeight="1" x14ac:dyDescent="0.25">
      <c r="A88" s="74"/>
      <c r="B88" s="62"/>
      <c r="C88" s="63"/>
      <c r="D88" s="62"/>
      <c r="E88" s="62"/>
      <c r="F88" s="64"/>
      <c r="G88" s="62"/>
      <c r="H88" s="63"/>
      <c r="I88" s="98" t="str">
        <f t="shared" si="2"/>
        <v/>
      </c>
      <c r="J88" s="62"/>
      <c r="K88" s="63"/>
    </row>
    <row r="89" spans="1:11" ht="15" customHeight="1" x14ac:dyDescent="0.25">
      <c r="A89" s="72"/>
      <c r="B89" s="57"/>
      <c r="C89" s="58"/>
      <c r="D89" s="57"/>
      <c r="E89" s="57"/>
      <c r="F89" s="59"/>
      <c r="G89" s="57"/>
      <c r="H89" s="58"/>
      <c r="I89" s="97" t="str">
        <f t="shared" si="2"/>
        <v/>
      </c>
      <c r="J89" s="57"/>
      <c r="K89" s="58"/>
    </row>
    <row r="90" spans="1:11" ht="15" customHeight="1" x14ac:dyDescent="0.25">
      <c r="A90" s="74"/>
      <c r="B90" s="62"/>
      <c r="C90" s="63"/>
      <c r="D90" s="62"/>
      <c r="E90" s="62"/>
      <c r="F90" s="64"/>
      <c r="G90" s="62"/>
      <c r="H90" s="63"/>
      <c r="I90" s="98" t="str">
        <f t="shared" si="2"/>
        <v/>
      </c>
      <c r="J90" s="62"/>
      <c r="K90" s="63"/>
    </row>
    <row r="91" spans="1:11" ht="15" customHeight="1" x14ac:dyDescent="0.25">
      <c r="A91" s="72"/>
      <c r="B91" s="57"/>
      <c r="C91" s="58"/>
      <c r="D91" s="57"/>
      <c r="E91" s="57"/>
      <c r="F91" s="59"/>
      <c r="G91" s="57"/>
      <c r="H91" s="58"/>
      <c r="I91" s="97" t="str">
        <f t="shared" si="2"/>
        <v/>
      </c>
      <c r="J91" s="57"/>
      <c r="K91" s="58"/>
    </row>
    <row r="92" spans="1:11" ht="15" customHeight="1" x14ac:dyDescent="0.25">
      <c r="A92" s="74"/>
      <c r="B92" s="62"/>
      <c r="C92" s="63"/>
      <c r="D92" s="62"/>
      <c r="E92" s="62"/>
      <c r="F92" s="64"/>
      <c r="G92" s="62"/>
      <c r="H92" s="63"/>
      <c r="I92" s="98" t="str">
        <f t="shared" si="2"/>
        <v/>
      </c>
      <c r="J92" s="62"/>
      <c r="K92" s="63"/>
    </row>
    <row r="93" spans="1:11" ht="15" customHeight="1" x14ac:dyDescent="0.25">
      <c r="A93" s="72"/>
      <c r="B93" s="57"/>
      <c r="C93" s="58"/>
      <c r="D93" s="57"/>
      <c r="E93" s="57"/>
      <c r="F93" s="59"/>
      <c r="G93" s="57"/>
      <c r="H93" s="58"/>
      <c r="I93" s="97" t="str">
        <f t="shared" si="2"/>
        <v/>
      </c>
      <c r="J93" s="57"/>
      <c r="K93" s="58"/>
    </row>
    <row r="94" spans="1:11" ht="15" customHeight="1" x14ac:dyDescent="0.25">
      <c r="A94" s="74"/>
      <c r="B94" s="62"/>
      <c r="C94" s="63"/>
      <c r="D94" s="62"/>
      <c r="E94" s="62"/>
      <c r="F94" s="64"/>
      <c r="G94" s="62"/>
      <c r="H94" s="63"/>
      <c r="I94" s="98" t="str">
        <f t="shared" si="2"/>
        <v/>
      </c>
      <c r="J94" s="62"/>
      <c r="K94" s="63"/>
    </row>
    <row r="95" spans="1:11" ht="15" customHeight="1" x14ac:dyDescent="0.25">
      <c r="A95" s="72"/>
      <c r="B95" s="57"/>
      <c r="C95" s="58"/>
      <c r="D95" s="57"/>
      <c r="E95" s="57"/>
      <c r="F95" s="59"/>
      <c r="G95" s="57"/>
      <c r="H95" s="58"/>
      <c r="I95" s="97" t="str">
        <f t="shared" si="2"/>
        <v/>
      </c>
      <c r="J95" s="57"/>
      <c r="K95" s="58"/>
    </row>
    <row r="96" spans="1:11" ht="15" customHeight="1" x14ac:dyDescent="0.25">
      <c r="A96" s="74"/>
      <c r="B96" s="62"/>
      <c r="C96" s="63"/>
      <c r="D96" s="62"/>
      <c r="E96" s="62"/>
      <c r="F96" s="64"/>
      <c r="G96" s="62"/>
      <c r="H96" s="63"/>
      <c r="I96" s="98" t="str">
        <f t="shared" si="2"/>
        <v/>
      </c>
      <c r="J96" s="62"/>
      <c r="K96" s="63"/>
    </row>
    <row r="97" spans="1:11" ht="15" customHeight="1" x14ac:dyDescent="0.25">
      <c r="A97" s="72"/>
      <c r="B97" s="57"/>
      <c r="C97" s="58"/>
      <c r="D97" s="57"/>
      <c r="E97" s="57"/>
      <c r="F97" s="59"/>
      <c r="G97" s="57"/>
      <c r="H97" s="58"/>
      <c r="I97" s="97" t="str">
        <f t="shared" si="2"/>
        <v/>
      </c>
      <c r="J97" s="57"/>
      <c r="K97" s="58"/>
    </row>
    <row r="98" spans="1:11" ht="15" customHeight="1" x14ac:dyDescent="0.25">
      <c r="A98" s="74"/>
      <c r="B98" s="62"/>
      <c r="C98" s="63"/>
      <c r="D98" s="62"/>
      <c r="E98" s="62"/>
      <c r="F98" s="64"/>
      <c r="G98" s="62"/>
      <c r="H98" s="63"/>
      <c r="I98" s="98" t="str">
        <f t="shared" si="2"/>
        <v/>
      </c>
      <c r="J98" s="62"/>
      <c r="K98" s="63"/>
    </row>
    <row r="99" spans="1:11" ht="15" customHeight="1" x14ac:dyDescent="0.25">
      <c r="A99" s="72"/>
      <c r="B99" s="57"/>
      <c r="C99" s="58"/>
      <c r="D99" s="57"/>
      <c r="E99" s="57"/>
      <c r="F99" s="59"/>
      <c r="G99" s="57"/>
      <c r="H99" s="58"/>
      <c r="I99" s="97" t="str">
        <f t="shared" si="2"/>
        <v/>
      </c>
      <c r="J99" s="57"/>
      <c r="K99" s="58"/>
    </row>
    <row r="100" spans="1:11" ht="15" customHeight="1" x14ac:dyDescent="0.25">
      <c r="A100" s="74"/>
      <c r="B100" s="62"/>
      <c r="C100" s="63"/>
      <c r="D100" s="62"/>
      <c r="E100" s="62"/>
      <c r="F100" s="64"/>
      <c r="G100" s="62"/>
      <c r="H100" s="63"/>
      <c r="I100" s="98" t="str">
        <f t="shared" si="2"/>
        <v/>
      </c>
      <c r="J100" s="62"/>
      <c r="K100" s="63"/>
    </row>
    <row r="101" spans="1:11" ht="15" customHeight="1" x14ac:dyDescent="0.25">
      <c r="A101" s="72"/>
      <c r="B101" s="57"/>
      <c r="C101" s="58"/>
      <c r="D101" s="57"/>
      <c r="E101" s="57"/>
      <c r="F101" s="59"/>
      <c r="G101" s="57"/>
      <c r="H101" s="58"/>
      <c r="I101" s="97" t="str">
        <f t="shared" si="2"/>
        <v/>
      </c>
      <c r="J101" s="57"/>
      <c r="K101" s="58"/>
    </row>
    <row r="102" spans="1:11" ht="15" customHeight="1" x14ac:dyDescent="0.25">
      <c r="A102" s="74"/>
      <c r="B102" s="62"/>
      <c r="C102" s="63"/>
      <c r="D102" s="62"/>
      <c r="E102" s="62"/>
      <c r="F102" s="64"/>
      <c r="G102" s="62"/>
      <c r="H102" s="63"/>
      <c r="I102" s="98" t="str">
        <f t="shared" ref="I102:I133" si="3">IF(F102="","",IF(I101="",F102,I101+F102))</f>
        <v/>
      </c>
      <c r="J102" s="62"/>
      <c r="K102" s="63"/>
    </row>
    <row r="103" spans="1:11" ht="15" customHeight="1" x14ac:dyDescent="0.25">
      <c r="A103" s="72"/>
      <c r="B103" s="57"/>
      <c r="C103" s="58"/>
      <c r="D103" s="57"/>
      <c r="E103" s="57"/>
      <c r="F103" s="59"/>
      <c r="G103" s="57"/>
      <c r="H103" s="58"/>
      <c r="I103" s="97" t="str">
        <f t="shared" si="3"/>
        <v/>
      </c>
      <c r="J103" s="57"/>
      <c r="K103" s="58"/>
    </row>
    <row r="104" spans="1:11" ht="15" customHeight="1" x14ac:dyDescent="0.25">
      <c r="A104" s="74"/>
      <c r="B104" s="62"/>
      <c r="C104" s="63"/>
      <c r="D104" s="62"/>
      <c r="E104" s="62"/>
      <c r="F104" s="64"/>
      <c r="G104" s="62"/>
      <c r="H104" s="63"/>
      <c r="I104" s="98" t="str">
        <f t="shared" si="3"/>
        <v/>
      </c>
      <c r="J104" s="62"/>
      <c r="K104" s="63"/>
    </row>
    <row r="105" spans="1:11" ht="15" customHeight="1" x14ac:dyDescent="0.25">
      <c r="A105" s="72"/>
      <c r="B105" s="57"/>
      <c r="C105" s="58"/>
      <c r="D105" s="57"/>
      <c r="E105" s="57"/>
      <c r="F105" s="59"/>
      <c r="G105" s="57"/>
      <c r="H105" s="58"/>
      <c r="I105" s="97" t="str">
        <f t="shared" si="3"/>
        <v/>
      </c>
      <c r="J105" s="57"/>
      <c r="K105" s="58"/>
    </row>
    <row r="106" spans="1:11" ht="15" customHeight="1" x14ac:dyDescent="0.25">
      <c r="A106" s="74"/>
      <c r="B106" s="62"/>
      <c r="C106" s="63"/>
      <c r="D106" s="62"/>
      <c r="E106" s="62"/>
      <c r="F106" s="64"/>
      <c r="G106" s="62"/>
      <c r="H106" s="63"/>
      <c r="I106" s="98" t="str">
        <f t="shared" si="3"/>
        <v/>
      </c>
      <c r="J106" s="62"/>
      <c r="K106" s="63"/>
    </row>
    <row r="107" spans="1:11" ht="15" customHeight="1" x14ac:dyDescent="0.25">
      <c r="A107" s="72"/>
      <c r="B107" s="57"/>
      <c r="C107" s="58"/>
      <c r="D107" s="57"/>
      <c r="E107" s="57"/>
      <c r="F107" s="59"/>
      <c r="G107" s="57"/>
      <c r="H107" s="58"/>
      <c r="I107" s="97" t="str">
        <f t="shared" si="3"/>
        <v/>
      </c>
      <c r="J107" s="57"/>
      <c r="K107" s="58"/>
    </row>
    <row r="108" spans="1:11" ht="15" customHeight="1" x14ac:dyDescent="0.25">
      <c r="A108" s="74"/>
      <c r="B108" s="62"/>
      <c r="C108" s="63"/>
      <c r="D108" s="62"/>
      <c r="E108" s="62"/>
      <c r="F108" s="64"/>
      <c r="G108" s="62"/>
      <c r="H108" s="63"/>
      <c r="I108" s="98" t="str">
        <f t="shared" si="3"/>
        <v/>
      </c>
      <c r="J108" s="62"/>
      <c r="K108" s="63"/>
    </row>
    <row r="109" spans="1:11" ht="15" customHeight="1" x14ac:dyDescent="0.25">
      <c r="A109" s="72"/>
      <c r="B109" s="57"/>
      <c r="C109" s="58"/>
      <c r="D109" s="57"/>
      <c r="E109" s="57"/>
      <c r="F109" s="59"/>
      <c r="G109" s="57"/>
      <c r="H109" s="58"/>
      <c r="I109" s="97" t="str">
        <f t="shared" si="3"/>
        <v/>
      </c>
      <c r="J109" s="57"/>
      <c r="K109" s="58"/>
    </row>
    <row r="110" spans="1:11" ht="15" customHeight="1" x14ac:dyDescent="0.25">
      <c r="A110" s="74"/>
      <c r="B110" s="62"/>
      <c r="C110" s="63"/>
      <c r="D110" s="62"/>
      <c r="E110" s="62"/>
      <c r="F110" s="64"/>
      <c r="G110" s="62"/>
      <c r="H110" s="63"/>
      <c r="I110" s="98" t="str">
        <f t="shared" si="3"/>
        <v/>
      </c>
      <c r="J110" s="62"/>
      <c r="K110" s="63"/>
    </row>
    <row r="111" spans="1:11" ht="15" customHeight="1" x14ac:dyDescent="0.25">
      <c r="A111" s="72"/>
      <c r="B111" s="57"/>
      <c r="C111" s="58"/>
      <c r="D111" s="57"/>
      <c r="E111" s="57"/>
      <c r="F111" s="59"/>
      <c r="G111" s="57"/>
      <c r="H111" s="58"/>
      <c r="I111" s="97" t="str">
        <f t="shared" si="3"/>
        <v/>
      </c>
      <c r="J111" s="57"/>
      <c r="K111" s="58"/>
    </row>
    <row r="112" spans="1:11" ht="15" customHeight="1" x14ac:dyDescent="0.25">
      <c r="A112" s="74"/>
      <c r="B112" s="62"/>
      <c r="C112" s="63"/>
      <c r="D112" s="62"/>
      <c r="E112" s="62"/>
      <c r="F112" s="64"/>
      <c r="G112" s="62"/>
      <c r="H112" s="63"/>
      <c r="I112" s="98" t="str">
        <f t="shared" si="3"/>
        <v/>
      </c>
      <c r="J112" s="62"/>
      <c r="K112" s="63"/>
    </row>
    <row r="113" spans="1:11" ht="15" customHeight="1" x14ac:dyDescent="0.25">
      <c r="A113" s="72"/>
      <c r="B113" s="57"/>
      <c r="C113" s="58"/>
      <c r="D113" s="57"/>
      <c r="E113" s="57"/>
      <c r="F113" s="59"/>
      <c r="G113" s="57"/>
      <c r="H113" s="58"/>
      <c r="I113" s="97" t="str">
        <f t="shared" si="3"/>
        <v/>
      </c>
      <c r="J113" s="57"/>
      <c r="K113" s="58"/>
    </row>
    <row r="114" spans="1:11" ht="15" customHeight="1" x14ac:dyDescent="0.25">
      <c r="A114" s="74"/>
      <c r="B114" s="62"/>
      <c r="C114" s="63"/>
      <c r="D114" s="62"/>
      <c r="E114" s="62"/>
      <c r="F114" s="64"/>
      <c r="G114" s="62"/>
      <c r="H114" s="63"/>
      <c r="I114" s="98" t="str">
        <f t="shared" si="3"/>
        <v/>
      </c>
      <c r="J114" s="62"/>
      <c r="K114" s="63"/>
    </row>
    <row r="115" spans="1:11" ht="15" customHeight="1" x14ac:dyDescent="0.25">
      <c r="A115" s="72"/>
      <c r="B115" s="57"/>
      <c r="C115" s="58"/>
      <c r="D115" s="57"/>
      <c r="E115" s="57"/>
      <c r="F115" s="59"/>
      <c r="G115" s="57"/>
      <c r="H115" s="58"/>
      <c r="I115" s="97" t="str">
        <f t="shared" si="3"/>
        <v/>
      </c>
      <c r="J115" s="57"/>
      <c r="K115" s="58"/>
    </row>
    <row r="116" spans="1:11" ht="15" customHeight="1" x14ac:dyDescent="0.25">
      <c r="A116" s="74"/>
      <c r="B116" s="62"/>
      <c r="C116" s="63"/>
      <c r="D116" s="62"/>
      <c r="E116" s="62"/>
      <c r="F116" s="64"/>
      <c r="G116" s="62"/>
      <c r="H116" s="63"/>
      <c r="I116" s="98" t="str">
        <f t="shared" si="3"/>
        <v/>
      </c>
      <c r="J116" s="62"/>
      <c r="K116" s="63"/>
    </row>
    <row r="117" spans="1:11" ht="15" customHeight="1" x14ac:dyDescent="0.25">
      <c r="A117" s="72"/>
      <c r="B117" s="57"/>
      <c r="C117" s="58"/>
      <c r="D117" s="57"/>
      <c r="E117" s="57"/>
      <c r="F117" s="59"/>
      <c r="G117" s="57"/>
      <c r="H117" s="58"/>
      <c r="I117" s="97" t="str">
        <f t="shared" si="3"/>
        <v/>
      </c>
      <c r="J117" s="57"/>
      <c r="K117" s="58"/>
    </row>
    <row r="118" spans="1:11" ht="15" customHeight="1" x14ac:dyDescent="0.25">
      <c r="A118" s="74"/>
      <c r="B118" s="62"/>
      <c r="C118" s="63"/>
      <c r="D118" s="62"/>
      <c r="E118" s="62"/>
      <c r="F118" s="64"/>
      <c r="G118" s="62"/>
      <c r="H118" s="63"/>
      <c r="I118" s="98" t="str">
        <f t="shared" si="3"/>
        <v/>
      </c>
      <c r="J118" s="62"/>
      <c r="K118" s="63"/>
    </row>
    <row r="119" spans="1:11" ht="15" customHeight="1" x14ac:dyDescent="0.25">
      <c r="A119" s="72"/>
      <c r="B119" s="57"/>
      <c r="C119" s="58"/>
      <c r="D119" s="57"/>
      <c r="E119" s="57"/>
      <c r="F119" s="59"/>
      <c r="G119" s="57"/>
      <c r="H119" s="58"/>
      <c r="I119" s="97" t="str">
        <f t="shared" si="3"/>
        <v/>
      </c>
      <c r="J119" s="57"/>
      <c r="K119" s="58"/>
    </row>
    <row r="120" spans="1:11" ht="15" customHeight="1" x14ac:dyDescent="0.25">
      <c r="A120" s="74"/>
      <c r="B120" s="62"/>
      <c r="C120" s="63"/>
      <c r="D120" s="62"/>
      <c r="E120" s="62"/>
      <c r="F120" s="64"/>
      <c r="G120" s="62"/>
      <c r="H120" s="63"/>
      <c r="I120" s="98" t="str">
        <f t="shared" si="3"/>
        <v/>
      </c>
      <c r="J120" s="62"/>
      <c r="K120" s="63"/>
    </row>
    <row r="121" spans="1:11" ht="15" customHeight="1" x14ac:dyDescent="0.25">
      <c r="A121" s="72"/>
      <c r="B121" s="57"/>
      <c r="C121" s="58"/>
      <c r="D121" s="57"/>
      <c r="E121" s="57"/>
      <c r="F121" s="59"/>
      <c r="G121" s="57"/>
      <c r="H121" s="58"/>
      <c r="I121" s="97" t="str">
        <f t="shared" si="3"/>
        <v/>
      </c>
      <c r="J121" s="57"/>
      <c r="K121" s="58"/>
    </row>
    <row r="122" spans="1:11" ht="15" customHeight="1" x14ac:dyDescent="0.25">
      <c r="A122" s="74"/>
      <c r="B122" s="62"/>
      <c r="C122" s="63"/>
      <c r="D122" s="62"/>
      <c r="E122" s="62"/>
      <c r="F122" s="64"/>
      <c r="G122" s="62"/>
      <c r="H122" s="63"/>
      <c r="I122" s="98" t="str">
        <f t="shared" si="3"/>
        <v/>
      </c>
      <c r="J122" s="62"/>
      <c r="K122" s="63"/>
    </row>
    <row r="123" spans="1:11" ht="15" customHeight="1" x14ac:dyDescent="0.25">
      <c r="A123" s="72"/>
      <c r="B123" s="57"/>
      <c r="C123" s="58"/>
      <c r="D123" s="57"/>
      <c r="E123" s="57"/>
      <c r="F123" s="59"/>
      <c r="G123" s="57"/>
      <c r="H123" s="58"/>
      <c r="I123" s="97" t="str">
        <f t="shared" si="3"/>
        <v/>
      </c>
      <c r="J123" s="57"/>
      <c r="K123" s="58"/>
    </row>
    <row r="124" spans="1:11" ht="15" customHeight="1" x14ac:dyDescent="0.25">
      <c r="A124" s="74"/>
      <c r="B124" s="62"/>
      <c r="C124" s="63"/>
      <c r="D124" s="62"/>
      <c r="E124" s="62"/>
      <c r="F124" s="64"/>
      <c r="G124" s="62"/>
      <c r="H124" s="63"/>
      <c r="I124" s="98" t="str">
        <f t="shared" si="3"/>
        <v/>
      </c>
      <c r="J124" s="62"/>
      <c r="K124" s="63"/>
    </row>
    <row r="125" spans="1:11" ht="15" customHeight="1" x14ac:dyDescent="0.25">
      <c r="A125" s="72"/>
      <c r="B125" s="57"/>
      <c r="C125" s="58"/>
      <c r="D125" s="57"/>
      <c r="E125" s="57"/>
      <c r="F125" s="59"/>
      <c r="G125" s="57"/>
      <c r="H125" s="58"/>
      <c r="I125" s="97" t="str">
        <f t="shared" si="3"/>
        <v/>
      </c>
      <c r="J125" s="57"/>
      <c r="K125" s="58"/>
    </row>
    <row r="126" spans="1:11" ht="15" customHeight="1" x14ac:dyDescent="0.25">
      <c r="A126" s="74"/>
      <c r="B126" s="62"/>
      <c r="C126" s="63"/>
      <c r="D126" s="62"/>
      <c r="E126" s="62"/>
      <c r="F126" s="64"/>
      <c r="G126" s="62"/>
      <c r="H126" s="63"/>
      <c r="I126" s="98" t="str">
        <f t="shared" si="3"/>
        <v/>
      </c>
      <c r="J126" s="62"/>
      <c r="K126" s="63"/>
    </row>
    <row r="127" spans="1:11" ht="15" customHeight="1" x14ac:dyDescent="0.25">
      <c r="A127" s="72"/>
      <c r="B127" s="57"/>
      <c r="C127" s="58"/>
      <c r="D127" s="57"/>
      <c r="E127" s="57"/>
      <c r="F127" s="59"/>
      <c r="G127" s="57"/>
      <c r="H127" s="58"/>
      <c r="I127" s="97" t="str">
        <f t="shared" si="3"/>
        <v/>
      </c>
      <c r="J127" s="57"/>
      <c r="K127" s="58"/>
    </row>
    <row r="128" spans="1:11" ht="15" customHeight="1" x14ac:dyDescent="0.25">
      <c r="A128" s="74"/>
      <c r="B128" s="62"/>
      <c r="C128" s="63"/>
      <c r="D128" s="62"/>
      <c r="E128" s="62"/>
      <c r="F128" s="64"/>
      <c r="G128" s="62"/>
      <c r="H128" s="63"/>
      <c r="I128" s="98" t="str">
        <f t="shared" si="3"/>
        <v/>
      </c>
      <c r="J128" s="62"/>
      <c r="K128" s="63"/>
    </row>
    <row r="129" spans="1:11" ht="15" customHeight="1" x14ac:dyDescent="0.25">
      <c r="A129" s="72"/>
      <c r="B129" s="57"/>
      <c r="C129" s="58"/>
      <c r="D129" s="57"/>
      <c r="E129" s="57"/>
      <c r="F129" s="59"/>
      <c r="G129" s="57"/>
      <c r="H129" s="58"/>
      <c r="I129" s="97" t="str">
        <f t="shared" si="3"/>
        <v/>
      </c>
      <c r="J129" s="57"/>
      <c r="K129" s="58"/>
    </row>
    <row r="130" spans="1:11" ht="15" customHeight="1" x14ac:dyDescent="0.25">
      <c r="A130" s="74"/>
      <c r="B130" s="62"/>
      <c r="C130" s="63"/>
      <c r="D130" s="62"/>
      <c r="E130" s="62"/>
      <c r="F130" s="64"/>
      <c r="G130" s="62"/>
      <c r="H130" s="63"/>
      <c r="I130" s="98" t="str">
        <f t="shared" si="3"/>
        <v/>
      </c>
      <c r="J130" s="62"/>
      <c r="K130" s="63"/>
    </row>
    <row r="131" spans="1:11" ht="15" customHeight="1" x14ac:dyDescent="0.25">
      <c r="A131" s="72"/>
      <c r="B131" s="57"/>
      <c r="C131" s="58"/>
      <c r="D131" s="57"/>
      <c r="E131" s="57"/>
      <c r="F131" s="59"/>
      <c r="G131" s="57"/>
      <c r="H131" s="58"/>
      <c r="I131" s="97" t="str">
        <f t="shared" si="3"/>
        <v/>
      </c>
      <c r="J131" s="57"/>
      <c r="K131" s="58"/>
    </row>
    <row r="132" spans="1:11" ht="15" customHeight="1" x14ac:dyDescent="0.25">
      <c r="A132" s="74"/>
      <c r="B132" s="62"/>
      <c r="C132" s="63"/>
      <c r="D132" s="62"/>
      <c r="E132" s="62"/>
      <c r="F132" s="64"/>
      <c r="G132" s="62"/>
      <c r="H132" s="63"/>
      <c r="I132" s="98" t="str">
        <f t="shared" si="3"/>
        <v/>
      </c>
      <c r="J132" s="62"/>
      <c r="K132" s="63"/>
    </row>
    <row r="133" spans="1:11" ht="15" customHeight="1" x14ac:dyDescent="0.25">
      <c r="A133" s="72"/>
      <c r="B133" s="57"/>
      <c r="C133" s="58"/>
      <c r="D133" s="57"/>
      <c r="E133" s="57"/>
      <c r="F133" s="59"/>
      <c r="G133" s="57"/>
      <c r="H133" s="58"/>
      <c r="I133" s="97" t="str">
        <f t="shared" si="3"/>
        <v/>
      </c>
      <c r="J133" s="57"/>
      <c r="K133" s="58"/>
    </row>
    <row r="134" spans="1:11" ht="15" customHeight="1" x14ac:dyDescent="0.25">
      <c r="A134" s="74"/>
      <c r="B134" s="62"/>
      <c r="C134" s="63"/>
      <c r="D134" s="62"/>
      <c r="E134" s="62"/>
      <c r="F134" s="64"/>
      <c r="G134" s="62"/>
      <c r="H134" s="63"/>
      <c r="I134" s="98" t="str">
        <f t="shared" ref="I134:I154" si="4">IF(F134="","",IF(I133="",F134,I133+F134))</f>
        <v/>
      </c>
      <c r="J134" s="62"/>
      <c r="K134" s="63"/>
    </row>
    <row r="135" spans="1:11" ht="15" customHeight="1" x14ac:dyDescent="0.25">
      <c r="A135" s="72"/>
      <c r="B135" s="57"/>
      <c r="C135" s="58"/>
      <c r="D135" s="57"/>
      <c r="E135" s="57"/>
      <c r="F135" s="59"/>
      <c r="G135" s="57"/>
      <c r="H135" s="58"/>
      <c r="I135" s="97" t="str">
        <f t="shared" si="4"/>
        <v/>
      </c>
      <c r="J135" s="57"/>
      <c r="K135" s="58"/>
    </row>
    <row r="136" spans="1:11" ht="15" customHeight="1" x14ac:dyDescent="0.25">
      <c r="A136" s="74"/>
      <c r="B136" s="62"/>
      <c r="C136" s="63"/>
      <c r="D136" s="62"/>
      <c r="E136" s="62"/>
      <c r="F136" s="64"/>
      <c r="G136" s="62"/>
      <c r="H136" s="63"/>
      <c r="I136" s="98" t="str">
        <f t="shared" si="4"/>
        <v/>
      </c>
      <c r="J136" s="62"/>
      <c r="K136" s="63"/>
    </row>
    <row r="137" spans="1:11" ht="15" customHeight="1" x14ac:dyDescent="0.25">
      <c r="A137" s="72"/>
      <c r="B137" s="57"/>
      <c r="C137" s="58"/>
      <c r="D137" s="57"/>
      <c r="E137" s="57"/>
      <c r="F137" s="59"/>
      <c r="G137" s="57"/>
      <c r="H137" s="58"/>
      <c r="I137" s="97" t="str">
        <f t="shared" si="4"/>
        <v/>
      </c>
      <c r="J137" s="57"/>
      <c r="K137" s="58"/>
    </row>
    <row r="138" spans="1:11" ht="15" customHeight="1" x14ac:dyDescent="0.25">
      <c r="A138" s="74"/>
      <c r="B138" s="62"/>
      <c r="C138" s="63"/>
      <c r="D138" s="62"/>
      <c r="E138" s="62"/>
      <c r="F138" s="64"/>
      <c r="G138" s="62"/>
      <c r="H138" s="63"/>
      <c r="I138" s="98" t="str">
        <f t="shared" si="4"/>
        <v/>
      </c>
      <c r="J138" s="62"/>
      <c r="K138" s="63"/>
    </row>
    <row r="139" spans="1:11" ht="15" customHeight="1" x14ac:dyDescent="0.25">
      <c r="A139" s="72"/>
      <c r="B139" s="57"/>
      <c r="C139" s="58"/>
      <c r="D139" s="57"/>
      <c r="E139" s="57"/>
      <c r="F139" s="59"/>
      <c r="G139" s="57"/>
      <c r="H139" s="58"/>
      <c r="I139" s="97" t="str">
        <f t="shared" si="4"/>
        <v/>
      </c>
      <c r="J139" s="57"/>
      <c r="K139" s="58"/>
    </row>
    <row r="140" spans="1:11" ht="15" customHeight="1" x14ac:dyDescent="0.25">
      <c r="A140" s="74"/>
      <c r="B140" s="62"/>
      <c r="C140" s="63"/>
      <c r="D140" s="62"/>
      <c r="E140" s="62"/>
      <c r="F140" s="64"/>
      <c r="G140" s="62"/>
      <c r="H140" s="63"/>
      <c r="I140" s="98" t="str">
        <f t="shared" si="4"/>
        <v/>
      </c>
      <c r="J140" s="62"/>
      <c r="K140" s="63"/>
    </row>
    <row r="141" spans="1:11" ht="15" customHeight="1" x14ac:dyDescent="0.25">
      <c r="A141" s="72"/>
      <c r="B141" s="57"/>
      <c r="C141" s="58"/>
      <c r="D141" s="57"/>
      <c r="E141" s="57"/>
      <c r="F141" s="59"/>
      <c r="G141" s="57"/>
      <c r="H141" s="58"/>
      <c r="I141" s="97" t="str">
        <f t="shared" si="4"/>
        <v/>
      </c>
      <c r="J141" s="57"/>
      <c r="K141" s="58"/>
    </row>
    <row r="142" spans="1:11" ht="15" customHeight="1" x14ac:dyDescent="0.25">
      <c r="A142" s="74"/>
      <c r="B142" s="62"/>
      <c r="C142" s="63"/>
      <c r="D142" s="62"/>
      <c r="E142" s="62"/>
      <c r="F142" s="64"/>
      <c r="G142" s="62"/>
      <c r="H142" s="63"/>
      <c r="I142" s="98" t="str">
        <f t="shared" si="4"/>
        <v/>
      </c>
      <c r="J142" s="62"/>
      <c r="K142" s="63"/>
    </row>
    <row r="143" spans="1:11" ht="15" customHeight="1" x14ac:dyDescent="0.25">
      <c r="A143" s="72"/>
      <c r="B143" s="57"/>
      <c r="C143" s="58"/>
      <c r="D143" s="57"/>
      <c r="E143" s="57"/>
      <c r="F143" s="59"/>
      <c r="G143" s="57"/>
      <c r="H143" s="58"/>
      <c r="I143" s="97" t="str">
        <f t="shared" si="4"/>
        <v/>
      </c>
      <c r="J143" s="57"/>
      <c r="K143" s="58"/>
    </row>
    <row r="144" spans="1:11" ht="15" customHeight="1" x14ac:dyDescent="0.25">
      <c r="A144" s="74"/>
      <c r="B144" s="62"/>
      <c r="C144" s="63"/>
      <c r="D144" s="62"/>
      <c r="E144" s="62"/>
      <c r="F144" s="64"/>
      <c r="G144" s="62"/>
      <c r="H144" s="63"/>
      <c r="I144" s="98" t="str">
        <f t="shared" si="4"/>
        <v/>
      </c>
      <c r="J144" s="62"/>
      <c r="K144" s="63"/>
    </row>
    <row r="145" spans="1:11" ht="15" customHeight="1" x14ac:dyDescent="0.25">
      <c r="A145" s="72"/>
      <c r="B145" s="57"/>
      <c r="C145" s="58"/>
      <c r="D145" s="57"/>
      <c r="E145" s="57"/>
      <c r="F145" s="59"/>
      <c r="G145" s="57"/>
      <c r="H145" s="58"/>
      <c r="I145" s="97" t="str">
        <f t="shared" si="4"/>
        <v/>
      </c>
      <c r="J145" s="57"/>
      <c r="K145" s="58"/>
    </row>
    <row r="146" spans="1:11" ht="15" customHeight="1" x14ac:dyDescent="0.25">
      <c r="A146" s="74"/>
      <c r="B146" s="62"/>
      <c r="C146" s="63"/>
      <c r="D146" s="62"/>
      <c r="E146" s="62"/>
      <c r="F146" s="64"/>
      <c r="G146" s="62"/>
      <c r="H146" s="63"/>
      <c r="I146" s="98" t="str">
        <f t="shared" si="4"/>
        <v/>
      </c>
      <c r="J146" s="62"/>
      <c r="K146" s="63"/>
    </row>
    <row r="147" spans="1:11" ht="15" customHeight="1" x14ac:dyDescent="0.25">
      <c r="A147" s="72"/>
      <c r="B147" s="57"/>
      <c r="C147" s="58"/>
      <c r="D147" s="57"/>
      <c r="E147" s="57"/>
      <c r="F147" s="59"/>
      <c r="G147" s="57"/>
      <c r="H147" s="58"/>
      <c r="I147" s="97" t="str">
        <f t="shared" si="4"/>
        <v/>
      </c>
      <c r="J147" s="57"/>
      <c r="K147" s="58"/>
    </row>
    <row r="148" spans="1:11" ht="15" customHeight="1" x14ac:dyDescent="0.25">
      <c r="A148" s="74"/>
      <c r="B148" s="62"/>
      <c r="C148" s="63"/>
      <c r="D148" s="62"/>
      <c r="E148" s="62"/>
      <c r="F148" s="64"/>
      <c r="G148" s="62"/>
      <c r="H148" s="63"/>
      <c r="I148" s="98" t="str">
        <f t="shared" si="4"/>
        <v/>
      </c>
      <c r="J148" s="62"/>
      <c r="K148" s="63"/>
    </row>
    <row r="149" spans="1:11" ht="15" customHeight="1" x14ac:dyDescent="0.25">
      <c r="A149" s="72"/>
      <c r="B149" s="57"/>
      <c r="C149" s="58"/>
      <c r="D149" s="57"/>
      <c r="E149" s="57"/>
      <c r="F149" s="59"/>
      <c r="G149" s="57"/>
      <c r="H149" s="58"/>
      <c r="I149" s="97" t="str">
        <f t="shared" si="4"/>
        <v/>
      </c>
      <c r="J149" s="57"/>
      <c r="K149" s="58"/>
    </row>
    <row r="150" spans="1:11" ht="15" customHeight="1" x14ac:dyDescent="0.25">
      <c r="A150" s="74"/>
      <c r="B150" s="62"/>
      <c r="C150" s="63"/>
      <c r="D150" s="62"/>
      <c r="E150" s="62"/>
      <c r="F150" s="64"/>
      <c r="G150" s="62"/>
      <c r="H150" s="63"/>
      <c r="I150" s="98" t="str">
        <f t="shared" si="4"/>
        <v/>
      </c>
      <c r="J150" s="62"/>
      <c r="K150" s="63"/>
    </row>
    <row r="151" spans="1:11" ht="15" customHeight="1" x14ac:dyDescent="0.25">
      <c r="A151" s="72"/>
      <c r="B151" s="57"/>
      <c r="C151" s="58"/>
      <c r="D151" s="57"/>
      <c r="E151" s="57"/>
      <c r="F151" s="59"/>
      <c r="G151" s="57"/>
      <c r="H151" s="58"/>
      <c r="I151" s="97" t="str">
        <f t="shared" si="4"/>
        <v/>
      </c>
      <c r="J151" s="57"/>
      <c r="K151" s="58"/>
    </row>
    <row r="152" spans="1:11" ht="15" customHeight="1" x14ac:dyDescent="0.25">
      <c r="A152" s="74"/>
      <c r="B152" s="62"/>
      <c r="C152" s="63"/>
      <c r="D152" s="62"/>
      <c r="E152" s="62"/>
      <c r="F152" s="64"/>
      <c r="G152" s="62"/>
      <c r="H152" s="63"/>
      <c r="I152" s="98" t="str">
        <f t="shared" si="4"/>
        <v/>
      </c>
      <c r="J152" s="62"/>
      <c r="K152" s="63"/>
    </row>
    <row r="153" spans="1:11" ht="15" customHeight="1" x14ac:dyDescent="0.25">
      <c r="A153" s="72"/>
      <c r="B153" s="57"/>
      <c r="C153" s="58"/>
      <c r="D153" s="57"/>
      <c r="E153" s="57"/>
      <c r="F153" s="59"/>
      <c r="G153" s="57"/>
      <c r="H153" s="58"/>
      <c r="I153" s="97" t="str">
        <f t="shared" si="4"/>
        <v/>
      </c>
      <c r="J153" s="57"/>
      <c r="K153" s="58"/>
    </row>
    <row r="154" spans="1:11" ht="15" customHeight="1" x14ac:dyDescent="0.25">
      <c r="A154" s="74"/>
      <c r="B154" s="62"/>
      <c r="C154" s="63"/>
      <c r="D154" s="62"/>
      <c r="E154" s="62"/>
      <c r="F154" s="64"/>
      <c r="G154" s="62"/>
      <c r="H154" s="63"/>
      <c r="I154" s="98" t="str">
        <f t="shared" si="4"/>
        <v/>
      </c>
      <c r="J154" s="62"/>
      <c r="K154" s="63"/>
    </row>
    <row r="157" spans="1:11" ht="25.5" customHeight="1" x14ac:dyDescent="0.25">
      <c r="A157" s="119" t="s">
        <v>186</v>
      </c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</row>
    <row r="158" spans="1:11" ht="23.25" customHeight="1" x14ac:dyDescent="0.25">
      <c r="A158" s="12" t="s">
        <v>180</v>
      </c>
      <c r="B158" s="12" t="s">
        <v>187</v>
      </c>
      <c r="C158" s="12" t="s">
        <v>188</v>
      </c>
      <c r="D158" s="12" t="s">
        <v>189</v>
      </c>
      <c r="E158" s="12" t="s">
        <v>190</v>
      </c>
      <c r="F158" s="12" t="s">
        <v>191</v>
      </c>
      <c r="G158" s="12" t="s">
        <v>192</v>
      </c>
      <c r="H158" s="12" t="s">
        <v>193</v>
      </c>
      <c r="I158" s="12" t="s">
        <v>194</v>
      </c>
      <c r="J158" s="12" t="s">
        <v>195</v>
      </c>
      <c r="K158" s="12" t="s">
        <v>36</v>
      </c>
    </row>
    <row r="159" spans="1:11" ht="15" customHeight="1" x14ac:dyDescent="0.25">
      <c r="A159" s="76" t="s">
        <v>196</v>
      </c>
      <c r="B159" s="72">
        <v>46133</v>
      </c>
      <c r="C159" s="77">
        <f>COUNTIF(E5:E154,"Wk 1 (21 Apr)")</f>
        <v>2</v>
      </c>
      <c r="D159" s="78">
        <f>SUMPRODUCT((E5:E154="Wk 1 (21 Apr)")*(G5:G154="Cash")*(F5:F154))</f>
        <v>0</v>
      </c>
      <c r="E159" s="78">
        <f>SUMPRODUCT((E5:E154="Wk 1 (21 Apr)")*((G5:G154="MTN MoMo")+(G5:G154="Vodafone Cash")+(G5:G154="AirtelTigo Money"))*(F5:F154))</f>
        <v>0</v>
      </c>
      <c r="F159" s="78">
        <f>SUMPRODUCT((E5:E154="Wk 1 (21 Apr)")*(G5:G154="Bank Transfer")*(F5:F154))</f>
        <v>4560</v>
      </c>
      <c r="G159" s="78">
        <f>SUMPRODUCT((E5:E154="Wk 1 (21 Apr)")*(G5:G154="Cheque")*(F5:F154))</f>
        <v>0</v>
      </c>
      <c r="H159" s="79">
        <f t="shared" ref="H159:H172" si="5">SUM(D159:G159)</f>
        <v>4560</v>
      </c>
      <c r="I159" s="60">
        <f>H159</f>
        <v>4560</v>
      </c>
      <c r="J159" s="77"/>
      <c r="K159" s="80"/>
    </row>
    <row r="160" spans="1:11" ht="15" customHeight="1" x14ac:dyDescent="0.25">
      <c r="A160" s="81" t="s">
        <v>197</v>
      </c>
      <c r="B160" s="74">
        <v>46140</v>
      </c>
      <c r="C160" s="82">
        <f>COUNTIF(E5:E154,"Wk 2 (28 Apr)")</f>
        <v>0</v>
      </c>
      <c r="D160" s="83">
        <f>SUMPRODUCT((E5:E154="Wk 2 (28 Apr)")*(G5:G154="Cash")*(F5:F154))</f>
        <v>0</v>
      </c>
      <c r="E160" s="83">
        <f>SUMPRODUCT((E5:E154="Wk 2 (28 Apr)")*((G5:G154="MTN MoMo")+(G5:G154="Vodafone Cash")+(G5:G154="AirtelTigo Money"))*(F5:F154))</f>
        <v>0</v>
      </c>
      <c r="F160" s="83">
        <f>SUMPRODUCT((E5:E154="Wk 2 (28 Apr)")*(G5:G154="Bank Transfer")*(F5:F154))</f>
        <v>0</v>
      </c>
      <c r="G160" s="83">
        <f>SUMPRODUCT((E5:E154="Wk 2 (28 Apr)")*(G5:G154="Cheque")*(F5:F154))</f>
        <v>0</v>
      </c>
      <c r="H160" s="84">
        <f t="shared" si="5"/>
        <v>0</v>
      </c>
      <c r="I160" s="65">
        <f t="shared" ref="I160:I172" si="6">I159+H160</f>
        <v>4560</v>
      </c>
      <c r="J160" s="82"/>
      <c r="K160" s="85"/>
    </row>
    <row r="161" spans="1:11" ht="15" customHeight="1" x14ac:dyDescent="0.25">
      <c r="A161" s="76" t="s">
        <v>198</v>
      </c>
      <c r="B161" s="72">
        <v>46147</v>
      </c>
      <c r="C161" s="77">
        <f>COUNTIF(E5:E154,"Wk 3 (05 May)")</f>
        <v>1</v>
      </c>
      <c r="D161" s="78">
        <f>SUMPRODUCT((E5:E154="Wk 3 (05 May)")*(G5:G154="Cash")*(F5:F154))</f>
        <v>650</v>
      </c>
      <c r="E161" s="78">
        <f>SUMPRODUCT((E5:E154="Wk 3 (05 May)")*((G5:G154="MTN MoMo")+(G5:G154="Vodafone Cash")+(G5:G154="AirtelTigo Money"))*(F5:F154))</f>
        <v>0</v>
      </c>
      <c r="F161" s="78">
        <f>SUMPRODUCT((E5:E154="Wk 3 (05 May)")*(G5:G154="Bank Transfer")*(F5:F154))</f>
        <v>0</v>
      </c>
      <c r="G161" s="78">
        <f>SUMPRODUCT((E5:E154="Wk 3 (05 May)")*(G5:G154="Cheque")*(F5:F154))</f>
        <v>0</v>
      </c>
      <c r="H161" s="79">
        <f t="shared" si="5"/>
        <v>650</v>
      </c>
      <c r="I161" s="60">
        <f t="shared" si="6"/>
        <v>5210</v>
      </c>
      <c r="J161" s="77"/>
      <c r="K161" s="80"/>
    </row>
    <row r="162" spans="1:11" ht="15" customHeight="1" x14ac:dyDescent="0.25">
      <c r="A162" s="81" t="s">
        <v>199</v>
      </c>
      <c r="B162" s="74">
        <v>46154</v>
      </c>
      <c r="C162" s="82">
        <f>COUNTIF(E5:E154,"Wk 4 (12 May)")</f>
        <v>0</v>
      </c>
      <c r="D162" s="83">
        <f>SUMPRODUCT((E5:E154="Wk 4 (12 May)")*(G5:G154="Cash")*(F5:F154))</f>
        <v>0</v>
      </c>
      <c r="E162" s="83">
        <f>SUMPRODUCT((E5:E154="Wk 4 (12 May)")*((G5:G154="MTN MoMo")+(G5:G154="Vodafone Cash")+(G5:G154="AirtelTigo Money"))*(F5:F154))</f>
        <v>0</v>
      </c>
      <c r="F162" s="83">
        <f>SUMPRODUCT((E5:E154="Wk 4 (12 May)")*(G5:G154="Bank Transfer")*(F5:F154))</f>
        <v>0</v>
      </c>
      <c r="G162" s="83">
        <f>SUMPRODUCT((E5:E154="Wk 4 (12 May)")*(G5:G154="Cheque")*(F5:F154))</f>
        <v>0</v>
      </c>
      <c r="H162" s="84">
        <f t="shared" si="5"/>
        <v>0</v>
      </c>
      <c r="I162" s="65">
        <f t="shared" si="6"/>
        <v>5210</v>
      </c>
      <c r="J162" s="82"/>
      <c r="K162" s="85"/>
    </row>
    <row r="163" spans="1:11" ht="15" customHeight="1" x14ac:dyDescent="0.25">
      <c r="A163" s="76" t="s">
        <v>200</v>
      </c>
      <c r="B163" s="72">
        <v>46161</v>
      </c>
      <c r="C163" s="77">
        <f>COUNTIF(E5:E154,"Wk 5 (19 May)")</f>
        <v>2</v>
      </c>
      <c r="D163" s="78">
        <f>SUMPRODUCT((E5:E154="Wk 5 (19 May)")*(G5:G154="Cash")*(F5:F154))</f>
        <v>0</v>
      </c>
      <c r="E163" s="78">
        <f>SUMPRODUCT((E5:E154="Wk 5 (19 May)")*((G5:G154="MTN MoMo")+(G5:G154="Vodafone Cash")+(G5:G154="AirtelTigo Money"))*(F5:F154))</f>
        <v>0</v>
      </c>
      <c r="F163" s="78">
        <f>SUMPRODUCT((E5:E154="Wk 5 (19 May)")*(G5:G154="Bank Transfer")*(F5:F154))</f>
        <v>4850</v>
      </c>
      <c r="G163" s="78">
        <f>SUMPRODUCT((E5:E154="Wk 5 (19 May)")*(G5:G154="Cheque")*(F5:F154))</f>
        <v>0</v>
      </c>
      <c r="H163" s="79">
        <f t="shared" si="5"/>
        <v>4850</v>
      </c>
      <c r="I163" s="60">
        <f t="shared" si="6"/>
        <v>10060</v>
      </c>
      <c r="J163" s="77"/>
      <c r="K163" s="80"/>
    </row>
    <row r="164" spans="1:11" ht="15" customHeight="1" x14ac:dyDescent="0.25">
      <c r="A164" s="81" t="s">
        <v>201</v>
      </c>
      <c r="B164" s="74">
        <v>46168</v>
      </c>
      <c r="C164" s="82">
        <f>COUNTIF(E5:E154,"Wk 6 (26 May)")</f>
        <v>2</v>
      </c>
      <c r="D164" s="83">
        <f>SUMPRODUCT((E5:E154="Wk 6 (26 May)")*(G5:G154="Cash")*(F5:F154))</f>
        <v>0</v>
      </c>
      <c r="E164" s="83">
        <f>SUMPRODUCT((E5:E154="Wk 6 (26 May)")*((G5:G154="MTN MoMo")+(G5:G154="Vodafone Cash")+(G5:G154="AirtelTigo Money"))*(F5:F154))</f>
        <v>0</v>
      </c>
      <c r="F164" s="83">
        <f>SUMPRODUCT((E5:E154="Wk 6 (26 May)")*(G5:G154="Bank Transfer")*(F5:F154))</f>
        <v>2160</v>
      </c>
      <c r="G164" s="83">
        <f>SUMPRODUCT((E5:E154="Wk 6 (26 May)")*(G5:G154="Cheque")*(F5:F154))</f>
        <v>0</v>
      </c>
      <c r="H164" s="84">
        <f t="shared" si="5"/>
        <v>2160</v>
      </c>
      <c r="I164" s="65">
        <f t="shared" si="6"/>
        <v>12220</v>
      </c>
      <c r="J164" s="82"/>
      <c r="K164" s="85"/>
    </row>
    <row r="165" spans="1:11" ht="15" customHeight="1" x14ac:dyDescent="0.25">
      <c r="A165" s="76" t="s">
        <v>202</v>
      </c>
      <c r="B165" s="72">
        <v>46175</v>
      </c>
      <c r="C165" s="77">
        <f>COUNTIF(E5:E154,"Wk 7 (02 Jun)")</f>
        <v>1</v>
      </c>
      <c r="D165" s="78">
        <f>SUMPRODUCT((E5:E154="Wk 7 (02 Jun)")*(G5:G154="Cash")*(F5:F154))</f>
        <v>1000</v>
      </c>
      <c r="E165" s="78">
        <f>SUMPRODUCT((E5:E154="Wk 7 (02 Jun)")*((G5:G154="MTN MoMo")+(G5:G154="Vodafone Cash")+(G5:G154="AirtelTigo Money"))*(F5:F154))</f>
        <v>0</v>
      </c>
      <c r="F165" s="78">
        <f>SUMPRODUCT((E5:E154="Wk 7 (02 Jun)")*(G5:G154="Bank Transfer")*(F5:F154))</f>
        <v>0</v>
      </c>
      <c r="G165" s="78">
        <f>SUMPRODUCT((E5:E154="Wk 7 (02 Jun)")*(G5:G154="Cheque")*(F5:F154))</f>
        <v>0</v>
      </c>
      <c r="H165" s="79">
        <f t="shared" si="5"/>
        <v>1000</v>
      </c>
      <c r="I165" s="60">
        <f t="shared" si="6"/>
        <v>13220</v>
      </c>
      <c r="J165" s="77"/>
      <c r="K165" s="80"/>
    </row>
    <row r="166" spans="1:11" ht="15" customHeight="1" x14ac:dyDescent="0.25">
      <c r="A166" s="81" t="s">
        <v>203</v>
      </c>
      <c r="B166" s="74">
        <v>46182</v>
      </c>
      <c r="C166" s="82">
        <f>COUNTIF(E5:E154,"Wk 8 (09 Jun)")</f>
        <v>1</v>
      </c>
      <c r="D166" s="83">
        <f>SUMPRODUCT((E5:E154="Wk 8 (09 Jun)")*(G5:G154="Cash")*(F5:F154))</f>
        <v>0</v>
      </c>
      <c r="E166" s="83">
        <f>SUMPRODUCT((E5:E154="Wk 8 (09 Jun)")*((G5:G154="MTN MoMo")+(G5:G154="Vodafone Cash")+(G5:G154="AirtelTigo Money"))*(F5:F154))</f>
        <v>1000</v>
      </c>
      <c r="F166" s="83">
        <f>SUMPRODUCT((E5:E154="Wk 8 (09 Jun)")*(G5:G154="Bank Transfer")*(F5:F154))</f>
        <v>0</v>
      </c>
      <c r="G166" s="83">
        <f>SUMPRODUCT((E5:E154="Wk 8 (09 Jun)")*(G5:G154="Cheque")*(F5:F154))</f>
        <v>0</v>
      </c>
      <c r="H166" s="84">
        <f t="shared" si="5"/>
        <v>1000</v>
      </c>
      <c r="I166" s="65">
        <f t="shared" si="6"/>
        <v>14220</v>
      </c>
      <c r="J166" s="82"/>
      <c r="K166" s="85"/>
    </row>
    <row r="167" spans="1:11" ht="15" customHeight="1" x14ac:dyDescent="0.25">
      <c r="A167" s="76" t="s">
        <v>204</v>
      </c>
      <c r="B167" s="72">
        <v>46189</v>
      </c>
      <c r="C167" s="77">
        <f>COUNTIF(E5:E154,"Wk 9 (16 Jun)")</f>
        <v>0</v>
      </c>
      <c r="D167" s="78">
        <f>SUMPRODUCT((E5:E154="Wk 9 (16 Jun)")*(G5:G154="Cash")*(F5:F154))</f>
        <v>0</v>
      </c>
      <c r="E167" s="78">
        <f>SUMPRODUCT((E5:E154="Wk 9 (16 Jun)")*((G5:G154="MTN MoMo")+(G5:G154="Vodafone Cash")+(G5:G154="AirtelTigo Money"))*(F5:F154))</f>
        <v>0</v>
      </c>
      <c r="F167" s="78">
        <f>SUMPRODUCT((E5:E154="Wk 9 (16 Jun)")*(G5:G154="Bank Transfer")*(F5:F154))</f>
        <v>0</v>
      </c>
      <c r="G167" s="78">
        <f>SUMPRODUCT((E5:E154="Wk 9 (16 Jun)")*(G5:G154="Cheque")*(F5:F154))</f>
        <v>0</v>
      </c>
      <c r="H167" s="79">
        <f t="shared" si="5"/>
        <v>0</v>
      </c>
      <c r="I167" s="60">
        <f t="shared" si="6"/>
        <v>14220</v>
      </c>
      <c r="J167" s="77"/>
      <c r="K167" s="80"/>
    </row>
    <row r="168" spans="1:11" ht="21.75" customHeight="1" x14ac:dyDescent="0.25">
      <c r="A168" s="81" t="s">
        <v>205</v>
      </c>
      <c r="B168" s="74">
        <v>46196</v>
      </c>
      <c r="C168" s="82">
        <f>COUNTIF(E5:E154,"Wk 10 (23 Jun)")</f>
        <v>0</v>
      </c>
      <c r="D168" s="83">
        <f>SUMPRODUCT((E5:E154="Wk 10 (23 Jun)")*(G5:G154="Cash")*(F5:F154))</f>
        <v>0</v>
      </c>
      <c r="E168" s="83">
        <f>SUMPRODUCT((E5:E154="Wk 10 (23 Jun)")*((G5:G154="MTN MoMo")+(G5:G154="Vodafone Cash")+(G5:G154="AirtelTigo Money"))*(F5:F154))</f>
        <v>0</v>
      </c>
      <c r="F168" s="83">
        <f>SUMPRODUCT((E5:E154="Wk 10 (23 Jun)")*(G5:G154="Bank Transfer")*(F5:F154))</f>
        <v>0</v>
      </c>
      <c r="G168" s="83">
        <f>SUMPRODUCT((E5:E154="Wk 10 (23 Jun)")*(G5:G154="Cheque")*(F5:F154))</f>
        <v>0</v>
      </c>
      <c r="H168" s="84">
        <f t="shared" si="5"/>
        <v>0</v>
      </c>
      <c r="I168" s="65">
        <f t="shared" si="6"/>
        <v>14220</v>
      </c>
      <c r="J168" s="82"/>
      <c r="K168" s="85"/>
    </row>
    <row r="169" spans="1:11" ht="21.75" customHeight="1" x14ac:dyDescent="0.25">
      <c r="A169" s="76" t="s">
        <v>206</v>
      </c>
      <c r="B169" s="72">
        <v>46203</v>
      </c>
      <c r="C169" s="77">
        <f>COUNTIF(E5:E154,"Wk 11 (30 Jun)")</f>
        <v>0</v>
      </c>
      <c r="D169" s="78">
        <f>SUMPRODUCT((E5:E154="Wk 11 (30 Jun)")*(G5:G154="Cash")*(F5:F154))</f>
        <v>0</v>
      </c>
      <c r="E169" s="78">
        <f>SUMPRODUCT((E5:E154="Wk 11 (30 Jun)")*((G5:G154="MTN MoMo")+(G5:G154="Vodafone Cash")+(G5:G154="AirtelTigo Money"))*(F5:F154))</f>
        <v>0</v>
      </c>
      <c r="F169" s="78">
        <f>SUMPRODUCT((E5:E154="Wk 11 (30 Jun)")*(G5:G154="Bank Transfer")*(F5:F154))</f>
        <v>0</v>
      </c>
      <c r="G169" s="78">
        <f>SUMPRODUCT((E5:E154="Wk 11 (30 Jun)")*(G5:G154="Cheque")*(F5:F154))</f>
        <v>0</v>
      </c>
      <c r="H169" s="79">
        <f t="shared" si="5"/>
        <v>0</v>
      </c>
      <c r="I169" s="60">
        <f t="shared" si="6"/>
        <v>14220</v>
      </c>
      <c r="J169" s="77"/>
      <c r="K169" s="80"/>
    </row>
    <row r="170" spans="1:11" ht="18.75" customHeight="1" x14ac:dyDescent="0.25">
      <c r="A170" s="81" t="s">
        <v>207</v>
      </c>
      <c r="B170" s="74">
        <v>46210</v>
      </c>
      <c r="C170" s="82">
        <f>COUNTIF(E5:E154,"Wk 12 (07 Jul)")</f>
        <v>3</v>
      </c>
      <c r="D170" s="83">
        <f>SUMPRODUCT((E5:E154="Wk 12 (07 Jul)")*(G5:G154="Cash")*(F5:F154))</f>
        <v>1500</v>
      </c>
      <c r="E170" s="83">
        <f>SUMPRODUCT((E5:E154="Wk 12 (07 Jul)")*((G5:G154="MTN MoMo")+(G5:G154="Vodafone Cash")+(G5:G154="AirtelTigo Money"))*(F5:F154))</f>
        <v>1500</v>
      </c>
      <c r="F170" s="83">
        <f>SUMPRODUCT((E5:E154="Wk 12 (07 Jul)")*(G5:G154="Bank Transfer")*(F5:F154))</f>
        <v>2110</v>
      </c>
      <c r="G170" s="83">
        <f>SUMPRODUCT((E5:E154="Wk 12 (07 Jul)")*(G5:G154="Cheque")*(F5:F154))</f>
        <v>0</v>
      </c>
      <c r="H170" s="84">
        <f t="shared" si="5"/>
        <v>5110</v>
      </c>
      <c r="I170" s="65">
        <f t="shared" si="6"/>
        <v>19330</v>
      </c>
      <c r="J170" s="86" t="s">
        <v>208</v>
      </c>
      <c r="K170" s="85"/>
    </row>
    <row r="171" spans="1:11" ht="18.75" customHeight="1" x14ac:dyDescent="0.25">
      <c r="A171" s="76" t="s">
        <v>209</v>
      </c>
      <c r="B171" s="72">
        <v>46217</v>
      </c>
      <c r="C171" s="77">
        <f>COUNTIF(E5:E154,"Wk 13 (14 Jul)")</f>
        <v>1</v>
      </c>
      <c r="D171" s="78">
        <f>SUMPRODUCT((E5:E154="Wk 13 (14 Jul)")*(G5:G154="Cash")*(F5:F154))</f>
        <v>400</v>
      </c>
      <c r="E171" s="78">
        <f>SUMPRODUCT((E5:E154="Wk 13 (14 Jul)")*((G5:G154="MTN MoMo")+(G5:G154="Vodafone Cash")+(G5:G154="AirtelTigo Money"))*(F5:F154))</f>
        <v>0</v>
      </c>
      <c r="F171" s="78">
        <f>SUMPRODUCT((E5:E154="Wk 13 (14 Jul)")*(G5:G154="Bank Transfer")*(F5:F154))</f>
        <v>0</v>
      </c>
      <c r="G171" s="78">
        <f>SUMPRODUCT((E5:E154="Wk 13 (14 Jul)")*(G5:G154="Cheque")*(F5:F154))</f>
        <v>0</v>
      </c>
      <c r="H171" s="79">
        <f t="shared" si="5"/>
        <v>400</v>
      </c>
      <c r="I171" s="60">
        <f t="shared" si="6"/>
        <v>19730</v>
      </c>
      <c r="J171" s="87" t="s">
        <v>208</v>
      </c>
      <c r="K171" s="80"/>
    </row>
    <row r="172" spans="1:11" ht="18.75" customHeight="1" x14ac:dyDescent="0.25">
      <c r="A172" s="81" t="s">
        <v>210</v>
      </c>
      <c r="B172" s="74">
        <v>46224</v>
      </c>
      <c r="C172" s="82">
        <f>COUNTIF(E5:E154,"Wk 14 (21 Jul)")</f>
        <v>2</v>
      </c>
      <c r="D172" s="83">
        <f>SUMPRODUCT((E5:E154="Wk 14 (21 Jul)")*(G5:G154="Cash")*(F5:F154))</f>
        <v>1000</v>
      </c>
      <c r="E172" s="83">
        <f>SUMPRODUCT((E5:E154="Wk 14 (21 Jul)")*((G5:G154="MTN MoMo")+(G5:G154="Vodafone Cash")+(G5:G154="AirtelTigo Money"))*(F5:F154))</f>
        <v>260</v>
      </c>
      <c r="F172" s="83">
        <f>SUMPRODUCT((E5:E154="Wk 14 (21 Jul)")*(G5:G154="Bank Transfer")*(F5:F154))</f>
        <v>0</v>
      </c>
      <c r="G172" s="83">
        <f>SUMPRODUCT((E5:E154="Wk 14 (21 Jul)")*(G5:G154="Cheque")*(F5:F154))</f>
        <v>0</v>
      </c>
      <c r="H172" s="84">
        <f t="shared" si="5"/>
        <v>1260</v>
      </c>
      <c r="I172" s="65">
        <f t="shared" si="6"/>
        <v>20990</v>
      </c>
      <c r="J172" s="86" t="s">
        <v>208</v>
      </c>
      <c r="K172" s="85"/>
    </row>
    <row r="173" spans="1:11" ht="15" customHeight="1" x14ac:dyDescent="0.25">
      <c r="A173" s="28" t="s">
        <v>211</v>
      </c>
      <c r="B173" s="28"/>
      <c r="C173" s="88">
        <f t="shared" ref="C173:H173" si="7">SUM(C159:C172)</f>
        <v>15</v>
      </c>
      <c r="D173" s="29">
        <f t="shared" si="7"/>
        <v>4550</v>
      </c>
      <c r="E173" s="29">
        <f t="shared" si="7"/>
        <v>2760</v>
      </c>
      <c r="F173" s="29">
        <f t="shared" si="7"/>
        <v>13680</v>
      </c>
      <c r="G173" s="29">
        <f t="shared" si="7"/>
        <v>0</v>
      </c>
      <c r="H173" s="29">
        <f t="shared" si="7"/>
        <v>20990</v>
      </c>
      <c r="I173" s="28"/>
      <c r="J173" s="28"/>
      <c r="K173" s="28"/>
    </row>
    <row r="176" spans="1:11" ht="15" customHeight="1" x14ac:dyDescent="0.25">
      <c r="A176" s="119" t="s">
        <v>212</v>
      </c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</row>
    <row r="177" spans="1:11" ht="23.25" customHeight="1" x14ac:dyDescent="0.25">
      <c r="A177" s="8" t="s">
        <v>213</v>
      </c>
      <c r="B177" s="8" t="s">
        <v>214</v>
      </c>
      <c r="C177" s="8" t="s">
        <v>189</v>
      </c>
      <c r="D177" s="8" t="s">
        <v>190</v>
      </c>
      <c r="E177" s="8" t="s">
        <v>191</v>
      </c>
      <c r="F177" s="8" t="s">
        <v>192</v>
      </c>
      <c r="G177" s="8" t="s">
        <v>215</v>
      </c>
      <c r="H177" s="8" t="s">
        <v>194</v>
      </c>
      <c r="I177" s="8" t="s">
        <v>216</v>
      </c>
      <c r="J177" s="8" t="s">
        <v>217</v>
      </c>
      <c r="K177" s="8" t="s">
        <v>36</v>
      </c>
    </row>
    <row r="178" spans="1:11" ht="15" customHeight="1" x14ac:dyDescent="0.25">
      <c r="A178" s="89" t="s">
        <v>218</v>
      </c>
      <c r="B178" s="90" t="e">
        <f>SUMPRODUCT((MONTH(A5:A154)=4)*(A5:A154&lt;&gt;""))</f>
        <v>#VALUE!</v>
      </c>
      <c r="C178" s="78" t="e">
        <f>SUMPRODUCT((MONTH(A5:A154)=4)*(G5:G154="Cash")*(F5:F154))</f>
        <v>#VALUE!</v>
      </c>
      <c r="D178" s="78" t="e">
        <f>SUMPRODUCT((MONTH(A5:A154)=4)*((G5:G154="MTN MoMo")+(G5:G154="Vodafone Cash")+(G5:G154="AirtelTigo Money"))*(F5:F154))</f>
        <v>#VALUE!</v>
      </c>
      <c r="E178" s="78" t="e">
        <f>SUMPRODUCT((MONTH(A5:A154)=4)*(G5:G154="Bank Transfer")*(F5:F154))</f>
        <v>#VALUE!</v>
      </c>
      <c r="F178" s="78" t="e">
        <f>SUMPRODUCT((MONTH(A5:A154)=4)*(G5:G154="Cheque")*(F5:F154))</f>
        <v>#VALUE!</v>
      </c>
      <c r="G178" s="79" t="e">
        <f>SUM(C178:F178)</f>
        <v>#VALUE!</v>
      </c>
      <c r="H178" s="60" t="e">
        <f>G178</f>
        <v>#VALUE!</v>
      </c>
      <c r="I178" s="91">
        <v>0.3</v>
      </c>
      <c r="J178" s="78"/>
      <c r="K178" s="92"/>
    </row>
    <row r="179" spans="1:11" ht="15" customHeight="1" x14ac:dyDescent="0.25">
      <c r="A179" s="93" t="s">
        <v>219</v>
      </c>
      <c r="B179" s="94" t="e">
        <f>SUMPRODUCT((MONTH(A5:A154)=5)*(A5:A154&lt;&gt;""))</f>
        <v>#VALUE!</v>
      </c>
      <c r="C179" s="83" t="e">
        <f>SUMPRODUCT((MONTH(A5:A154)=5)*(G5:G154="Cash")*(F5:F154))</f>
        <v>#VALUE!</v>
      </c>
      <c r="D179" s="83" t="e">
        <f>SUMPRODUCT((MONTH(A5:A154)=5)*((G5:G154="MTN MoMo")+(G5:G154="Vodafone Cash")+(G5:G154="AirtelTigo Money"))*(F5:F154))</f>
        <v>#VALUE!</v>
      </c>
      <c r="E179" s="83" t="e">
        <f>SUMPRODUCT((MONTH(A5:A154)=5)*(G5:G154="Bank Transfer")*(F5:F154))</f>
        <v>#VALUE!</v>
      </c>
      <c r="F179" s="83" t="e">
        <f>SUMPRODUCT((MONTH(A5:A154)=5)*(G5:G154="Cheque")*(F5:F154))</f>
        <v>#VALUE!</v>
      </c>
      <c r="G179" s="84" t="e">
        <f>SUM(C179:F179)</f>
        <v>#VALUE!</v>
      </c>
      <c r="H179" s="65" t="e">
        <f>H178+G179</f>
        <v>#VALUE!</v>
      </c>
      <c r="I179" s="95">
        <v>0.65</v>
      </c>
      <c r="J179" s="83"/>
      <c r="K179" s="96"/>
    </row>
    <row r="180" spans="1:11" ht="15" customHeight="1" x14ac:dyDescent="0.25">
      <c r="A180" s="89" t="s">
        <v>220</v>
      </c>
      <c r="B180" s="90" t="e">
        <f>SUMPRODUCT((MONTH(A5:A154)=6)*(A5:A154&lt;&gt;""))</f>
        <v>#VALUE!</v>
      </c>
      <c r="C180" s="78" t="e">
        <f>SUMPRODUCT((MONTH(A5:A154)=6)*(G5:G154="Cash")*(F5:F154))</f>
        <v>#VALUE!</v>
      </c>
      <c r="D180" s="78" t="e">
        <f>SUMPRODUCT((MONTH(A5:A154)=6)*((G5:G154="MTN MoMo")+(G5:G154="Vodafone Cash")+(G5:G154="AirtelTigo Money"))*(F5:F154))</f>
        <v>#VALUE!</v>
      </c>
      <c r="E180" s="78" t="e">
        <f>SUMPRODUCT((MONTH(A5:A154)=6)*(G5:G154="Bank Transfer")*(F5:F154))</f>
        <v>#VALUE!</v>
      </c>
      <c r="F180" s="78" t="e">
        <f>SUMPRODUCT((MONTH(A5:A154)=6)*(G5:G154="Cheque")*(F5:F154))</f>
        <v>#VALUE!</v>
      </c>
      <c r="G180" s="79" t="e">
        <f>SUM(C180:F180)</f>
        <v>#VALUE!</v>
      </c>
      <c r="H180" s="60" t="e">
        <f>H179+G180</f>
        <v>#VALUE!</v>
      </c>
      <c r="I180" s="91">
        <v>1</v>
      </c>
      <c r="J180" s="78"/>
      <c r="K180" s="92"/>
    </row>
    <row r="181" spans="1:11" ht="15" customHeight="1" x14ac:dyDescent="0.25">
      <c r="A181" s="93" t="s">
        <v>221</v>
      </c>
      <c r="B181" s="94" t="e">
        <f>SUMPRODUCT((MONTH(A5:A154)=7)*(A5:A154&lt;&gt;""))</f>
        <v>#VALUE!</v>
      </c>
      <c r="C181" s="83" t="e">
        <f>SUMPRODUCT((MONTH(A5:A154)=7)*(G5:G154="Cash")*(F5:F154))</f>
        <v>#VALUE!</v>
      </c>
      <c r="D181" s="83" t="e">
        <f>SUMPRODUCT((MONTH(A5:A154)=7)*((G5:G154="MTN MoMo")+(G5:G154="Vodafone Cash")+(G5:G154="AirtelTigo Money"))*(F5:F154))</f>
        <v>#VALUE!</v>
      </c>
      <c r="E181" s="83" t="e">
        <f>SUMPRODUCT((MONTH(A5:A154)=7)*(G5:G154="Bank Transfer")*(F5:F154))</f>
        <v>#VALUE!</v>
      </c>
      <c r="F181" s="83" t="e">
        <f>SUMPRODUCT((MONTH(A5:A154)=7)*(G5:G154="Cheque")*(F5:F154))</f>
        <v>#VALUE!</v>
      </c>
      <c r="G181" s="84" t="e">
        <f>SUM(C181:F181)</f>
        <v>#VALUE!</v>
      </c>
      <c r="H181" s="65" t="e">
        <f>H180+G181</f>
        <v>#VALUE!</v>
      </c>
      <c r="I181" s="95">
        <v>1</v>
      </c>
      <c r="J181" s="83"/>
      <c r="K181" s="96"/>
    </row>
    <row r="182" spans="1:11" ht="15" customHeight="1" x14ac:dyDescent="0.25">
      <c r="A182" s="28" t="s">
        <v>222</v>
      </c>
      <c r="B182" s="88" t="e">
        <f t="shared" ref="B182:G182" si="8">SUM(B178:B181)</f>
        <v>#VALUE!</v>
      </c>
      <c r="C182" s="29" t="e">
        <f t="shared" si="8"/>
        <v>#VALUE!</v>
      </c>
      <c r="D182" s="29" t="e">
        <f t="shared" si="8"/>
        <v>#VALUE!</v>
      </c>
      <c r="E182" s="29" t="e">
        <f t="shared" si="8"/>
        <v>#VALUE!</v>
      </c>
      <c r="F182" s="29" t="e">
        <f t="shared" si="8"/>
        <v>#VALUE!</v>
      </c>
      <c r="G182" s="29" t="e">
        <f t="shared" si="8"/>
        <v>#VALUE!</v>
      </c>
      <c r="H182" s="28"/>
      <c r="I182" s="28"/>
      <c r="J182" s="28"/>
      <c r="K182" s="28"/>
    </row>
  </sheetData>
  <mergeCells count="7">
    <mergeCell ref="A157:K157"/>
    <mergeCell ref="A176:K176"/>
    <mergeCell ref="A1:K1"/>
    <mergeCell ref="A2:K2"/>
    <mergeCell ref="A3:F3"/>
    <mergeCell ref="G3:I3"/>
    <mergeCell ref="J3:K3"/>
  </mergeCells>
  <dataValidations count="6">
    <dataValidation type="list" allowBlank="1" showInputMessage="1" promptTitle="Pupil Name" prompt="Select the pupil making the payment" sqref="C5:C154" xr:uid="{00000000-0002-0000-0500-000000000000}">
      <formula1>$P$1:$P$12</formula1>
      <formula2>0</formula2>
    </dataValidation>
    <dataValidation type="list" allowBlank="1" showInputMessage="1" promptTitle="Week" prompt="Select the week of payment" sqref="E5:E154" xr:uid="{00000000-0002-0000-0500-000001000000}">
      <formula1>"Wk 1 (21 Apr),Wk 2 (28 Apr),Wk 3 (05 May),Wk 4 (12 May),Wk 5 (19 May),Wk 6 (26 May),Wk 7 (02 Jun),Wk 8 (09 Jun),Wk 9 (16 Jun),Wk 10 (23 Jun),Wk 11 (30 Jun),Wk 12 (07 Jul),Wk 13 (14 Jul),Wk 14 (21 Jul)"</formula1>
      <formula2>0</formula2>
    </dataValidation>
    <dataValidation type="list" allowBlank="1" sqref="G5:G154" xr:uid="{00000000-0002-0000-0500-000002000000}">
      <formula1>"Cash,MTN MoMo,Vodafone Cash,AirtelTigo Money,Bank Transfer,Cheque"</formula1>
      <formula2>0</formula2>
    </dataValidation>
    <dataValidation type="list" allowBlank="1" sqref="D5:D154" xr:uid="{00000000-0002-0000-0500-000003000000}">
      <formula1>"Term 3,Term 2 Arrears,Term 1 Arrears"</formula1>
      <formula2>0</formula2>
    </dataValidation>
    <dataValidation type="list" allowBlank="1" sqref="J5:J154" xr:uid="{00000000-0002-0000-0500-000004000000}">
      <formula1>"Yes,No,Pending"</formula1>
      <formula2>0</formula2>
    </dataValidation>
    <dataValidation type="list" allowBlank="1" sqref="H5:H154" xr:uid="{00000000-0002-0000-0500-000005000000}">
      <formula1>"Dorcas Matilda Akosua Kusi,Hannah Ayorkor Laryea,Other"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4A017"/>
  </sheetPr>
  <dimension ref="A1:Q29"/>
  <sheetViews>
    <sheetView zoomScaleNormal="100" workbookViewId="0">
      <pane xSplit="2" ySplit="4" topLeftCell="K11" activePane="bottomRight" state="frozen"/>
      <selection pane="topRight" activeCell="C1" sqref="C1"/>
      <selection pane="bottomLeft" activeCell="A5" sqref="A5"/>
      <selection pane="bottomRight" activeCell="M13" sqref="M13"/>
    </sheetView>
  </sheetViews>
  <sheetFormatPr defaultColWidth="8.7109375" defaultRowHeight="15" x14ac:dyDescent="0.25"/>
  <cols>
    <col min="1" max="1" width="5" customWidth="1"/>
    <col min="2" max="2" width="36" customWidth="1"/>
    <col min="3" max="3" width="14" customWidth="1"/>
    <col min="4" max="16" width="13" customWidth="1"/>
    <col min="17" max="17" width="45" customWidth="1"/>
  </cols>
  <sheetData>
    <row r="1" spans="1:17" ht="25.5" customHeight="1" x14ac:dyDescent="0.25">
      <c r="A1" s="136" t="s">
        <v>241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</row>
    <row r="3" spans="1:17" ht="15" customHeight="1" x14ac:dyDescent="0.25">
      <c r="A3" s="120" t="s">
        <v>149</v>
      </c>
      <c r="B3" s="120"/>
      <c r="C3" s="120"/>
      <c r="D3" s="121" t="s">
        <v>150</v>
      </c>
      <c r="E3" s="121"/>
      <c r="F3" s="121"/>
      <c r="G3" s="121"/>
      <c r="H3" s="122" t="s">
        <v>151</v>
      </c>
      <c r="I3" s="122"/>
      <c r="J3" s="122"/>
      <c r="K3" s="122"/>
      <c r="L3" s="122"/>
      <c r="M3" s="123" t="s">
        <v>152</v>
      </c>
      <c r="N3" s="123"/>
      <c r="O3" s="123"/>
      <c r="P3" s="123"/>
      <c r="Q3" s="32" t="s">
        <v>153</v>
      </c>
    </row>
    <row r="4" spans="1:17" ht="27.75" customHeight="1" x14ac:dyDescent="0.25">
      <c r="A4" s="6" t="s">
        <v>87</v>
      </c>
      <c r="B4" s="6" t="s">
        <v>88</v>
      </c>
      <c r="C4" s="6" t="s">
        <v>33</v>
      </c>
      <c r="D4" s="5" t="s">
        <v>154</v>
      </c>
      <c r="E4" s="5" t="s">
        <v>155</v>
      </c>
      <c r="F4" s="5" t="s">
        <v>72</v>
      </c>
      <c r="G4" s="5" t="s">
        <v>73</v>
      </c>
      <c r="H4" s="4" t="s">
        <v>156</v>
      </c>
      <c r="I4" s="4" t="s">
        <v>157</v>
      </c>
      <c r="J4" s="4" t="s">
        <v>76</v>
      </c>
      <c r="K4" s="4" t="s">
        <v>77</v>
      </c>
      <c r="L4" s="4" t="s">
        <v>78</v>
      </c>
      <c r="M4" s="3" t="s">
        <v>80</v>
      </c>
      <c r="N4" s="3" t="s">
        <v>81</v>
      </c>
      <c r="O4" s="3" t="s">
        <v>158</v>
      </c>
      <c r="P4" s="3" t="s">
        <v>159</v>
      </c>
      <c r="Q4" s="32" t="s">
        <v>160</v>
      </c>
    </row>
    <row r="5" spans="1:17" ht="15" customHeight="1" x14ac:dyDescent="0.25">
      <c r="A5" s="57">
        <v>1</v>
      </c>
      <c r="B5" s="58" t="s">
        <v>242</v>
      </c>
      <c r="C5" s="57" t="s">
        <v>48</v>
      </c>
      <c r="D5" s="59">
        <v>800</v>
      </c>
      <c r="E5" s="59"/>
      <c r="F5" s="59">
        <v>800</v>
      </c>
      <c r="G5" s="59">
        <f t="shared" ref="G5:G17" si="0">IF(B5="","",IF(D5="",0,D5)+IF(E5="",0,E5)-IF(F5="",0,F5))</f>
        <v>0</v>
      </c>
      <c r="H5" s="59">
        <v>2400</v>
      </c>
      <c r="I5" s="59"/>
      <c r="J5" s="59">
        <v>2400</v>
      </c>
      <c r="K5" s="59"/>
      <c r="L5" s="59">
        <f t="shared" ref="L5:L16" si="1">IF(B5="","",IF(H5="",0,H5)+IF(I5="",0,I5)-IF(J5="",0,J5)-IF(K5="",0,K5))</f>
        <v>0</v>
      </c>
      <c r="M5" s="59">
        <v>4800</v>
      </c>
      <c r="N5" s="59">
        <v>4800</v>
      </c>
      <c r="O5" s="59">
        <f>SUMIF('Nursery 2 - Payments'!C5:C154,B5,'Nursery 2 - Payments'!F5:F154)</f>
        <v>0</v>
      </c>
      <c r="P5" s="60">
        <f t="shared" ref="P5:P17" si="2">IF(B5="","",IF(M5="",0,M5)-IF(N5="",0,N5)+IF(L5&lt;0,0,IF(L5="",0,L5))-IF(O5="",0,O5))</f>
        <v>0</v>
      </c>
      <c r="Q5" s="61" t="s">
        <v>243</v>
      </c>
    </row>
    <row r="6" spans="1:17" ht="29.1" customHeight="1" x14ac:dyDescent="0.25">
      <c r="A6" s="62">
        <v>2</v>
      </c>
      <c r="B6" s="63" t="s">
        <v>244</v>
      </c>
      <c r="C6" s="62"/>
      <c r="D6" s="64">
        <v>2400</v>
      </c>
      <c r="E6" s="64"/>
      <c r="F6" s="64">
        <v>2400</v>
      </c>
      <c r="G6" s="64">
        <f t="shared" si="0"/>
        <v>0</v>
      </c>
      <c r="H6" s="64">
        <v>2400</v>
      </c>
      <c r="I6" s="64"/>
      <c r="J6" s="64"/>
      <c r="K6" s="64">
        <v>2400</v>
      </c>
      <c r="L6" s="64">
        <f t="shared" si="1"/>
        <v>0</v>
      </c>
      <c r="M6" s="64">
        <v>2400</v>
      </c>
      <c r="N6" s="64"/>
      <c r="O6" s="64">
        <f>SUMIF('Nursery 2 - Payments'!C5:C154,B6,'Nursery 2 - Payments'!F5:F154)</f>
        <v>0</v>
      </c>
      <c r="P6" s="65">
        <f t="shared" si="2"/>
        <v>2400</v>
      </c>
      <c r="Q6" s="66" t="s">
        <v>227</v>
      </c>
    </row>
    <row r="7" spans="1:17" ht="29.1" customHeight="1" x14ac:dyDescent="0.25">
      <c r="A7" s="57">
        <v>3</v>
      </c>
      <c r="B7" s="58" t="s">
        <v>245</v>
      </c>
      <c r="C7" s="57" t="s">
        <v>98</v>
      </c>
      <c r="D7" s="59">
        <v>2280</v>
      </c>
      <c r="E7" s="59"/>
      <c r="F7" s="59">
        <v>2280</v>
      </c>
      <c r="G7" s="59">
        <f t="shared" si="0"/>
        <v>0</v>
      </c>
      <c r="H7" s="59">
        <v>2400</v>
      </c>
      <c r="I7" s="59"/>
      <c r="J7" s="59">
        <v>120</v>
      </c>
      <c r="K7" s="59">
        <v>2280</v>
      </c>
      <c r="L7" s="59">
        <f t="shared" si="1"/>
        <v>0</v>
      </c>
      <c r="M7" s="59">
        <v>4800</v>
      </c>
      <c r="N7" s="59">
        <v>240</v>
      </c>
      <c r="O7" s="59">
        <f>SUMIF('Nursery 2 - Payments'!C5:C154,B7,'Nursery 2 - Payments'!F5:F154)</f>
        <v>2280</v>
      </c>
      <c r="P7" s="60">
        <f t="shared" si="2"/>
        <v>2280</v>
      </c>
      <c r="Q7" s="61" t="s">
        <v>227</v>
      </c>
    </row>
    <row r="8" spans="1:17" ht="15" customHeight="1" x14ac:dyDescent="0.25">
      <c r="A8" s="57">
        <v>4</v>
      </c>
      <c r="B8" s="63" t="s">
        <v>229</v>
      </c>
      <c r="C8" s="62"/>
      <c r="D8" s="64">
        <v>2160</v>
      </c>
      <c r="E8" s="64"/>
      <c r="F8" s="64">
        <v>2160</v>
      </c>
      <c r="G8" s="64">
        <f>IF(B8="","",IF(D8="",0,D8)+IF(E8="",0,E8)-IF(F8="",0,F8))</f>
        <v>0</v>
      </c>
      <c r="H8" s="64">
        <v>2400</v>
      </c>
      <c r="I8" s="64"/>
      <c r="J8" s="64">
        <v>240</v>
      </c>
      <c r="K8" s="64">
        <v>2160</v>
      </c>
      <c r="L8" s="64">
        <f>IF(B8="","",IF(H8="",0,H8)+IF(I8="",0,I8)-IF(J8="",0,J8)-IF(K8="",0,K8))</f>
        <v>0</v>
      </c>
      <c r="M8" s="64">
        <v>2400</v>
      </c>
      <c r="N8" s="64">
        <v>240</v>
      </c>
      <c r="O8" s="64">
        <f>SUMIF('Nursery 1 - Payments'!C5:C154,B8,'Nursery 1 - Payments'!F5:F154)</f>
        <v>2000</v>
      </c>
      <c r="P8" s="65">
        <f>IF(B8="","",IF(M8="",0,M8)-IF(N8="",0,N8)+IF(L8&lt;0,0,IF(L8="",0,L8))-IF(O8="",0,O8))</f>
        <v>160</v>
      </c>
      <c r="Q8" s="66" t="s">
        <v>230</v>
      </c>
    </row>
    <row r="9" spans="1:17" ht="15" customHeight="1" x14ac:dyDescent="0.25">
      <c r="A9" s="57">
        <v>5</v>
      </c>
      <c r="B9" s="63" t="s">
        <v>246</v>
      </c>
      <c r="C9" s="62" t="s">
        <v>247</v>
      </c>
      <c r="D9" s="64">
        <v>2280</v>
      </c>
      <c r="E9" s="64"/>
      <c r="F9" s="64">
        <v>2280</v>
      </c>
      <c r="G9" s="64">
        <f t="shared" si="0"/>
        <v>0</v>
      </c>
      <c r="H9" s="64">
        <v>2400</v>
      </c>
      <c r="I9" s="64"/>
      <c r="J9" s="64">
        <v>1400</v>
      </c>
      <c r="K9" s="64">
        <v>1000</v>
      </c>
      <c r="L9" s="64">
        <f t="shared" si="1"/>
        <v>0</v>
      </c>
      <c r="M9" s="64">
        <v>2400</v>
      </c>
      <c r="N9" s="64">
        <v>240</v>
      </c>
      <c r="O9" s="64">
        <f>SUMIF('Nursery 2 - Payments'!C5:C154,B9,'Nursery 2 - Payments'!F5:F154)</f>
        <v>2180</v>
      </c>
      <c r="P9" s="65">
        <f t="shared" si="2"/>
        <v>-20</v>
      </c>
      <c r="Q9" s="66" t="s">
        <v>248</v>
      </c>
    </row>
    <row r="10" spans="1:17" ht="30.95" customHeight="1" x14ac:dyDescent="0.25">
      <c r="A10" s="57">
        <v>6</v>
      </c>
      <c r="B10" s="58" t="s">
        <v>249</v>
      </c>
      <c r="C10" s="57"/>
      <c r="D10" s="59">
        <v>2400</v>
      </c>
      <c r="E10" s="59"/>
      <c r="F10" s="59">
        <v>2400</v>
      </c>
      <c r="G10" s="59">
        <f t="shared" si="0"/>
        <v>0</v>
      </c>
      <c r="H10" s="59">
        <v>2400</v>
      </c>
      <c r="I10" s="59"/>
      <c r="J10" s="59"/>
      <c r="K10" s="59">
        <v>2400</v>
      </c>
      <c r="L10" s="59">
        <f t="shared" si="1"/>
        <v>0</v>
      </c>
      <c r="M10" s="59">
        <v>2400</v>
      </c>
      <c r="N10" s="59"/>
      <c r="O10" s="59">
        <f>SUMIF('Nursery 2 - Payments'!C5:C154,B10,'Nursery 2 - Payments'!F5:F154)</f>
        <v>2400</v>
      </c>
      <c r="P10" s="60">
        <f t="shared" si="2"/>
        <v>0</v>
      </c>
      <c r="Q10" s="61" t="s">
        <v>227</v>
      </c>
    </row>
    <row r="11" spans="1:17" ht="30.6" customHeight="1" x14ac:dyDescent="0.25">
      <c r="A11" s="57">
        <v>7</v>
      </c>
      <c r="B11" s="63" t="s">
        <v>250</v>
      </c>
      <c r="C11" s="62"/>
      <c r="D11" s="64">
        <v>2400</v>
      </c>
      <c r="E11" s="64"/>
      <c r="F11" s="64">
        <v>2400</v>
      </c>
      <c r="G11" s="64">
        <f t="shared" si="0"/>
        <v>0</v>
      </c>
      <c r="H11" s="64">
        <v>2400</v>
      </c>
      <c r="I11" s="64"/>
      <c r="J11" s="64"/>
      <c r="K11" s="64">
        <v>2400</v>
      </c>
      <c r="L11" s="64">
        <f t="shared" si="1"/>
        <v>0</v>
      </c>
      <c r="M11" s="64">
        <v>2400</v>
      </c>
      <c r="N11" s="64"/>
      <c r="O11" s="64">
        <f>SUMIF('Nursery 2 - Payments'!C5:C154,B11,'Nursery 2 - Payments'!F5:F154)</f>
        <v>2400</v>
      </c>
      <c r="P11" s="65">
        <f t="shared" si="2"/>
        <v>0</v>
      </c>
      <c r="Q11" s="66" t="s">
        <v>227</v>
      </c>
    </row>
    <row r="12" spans="1:17" ht="30" customHeight="1" x14ac:dyDescent="0.25">
      <c r="A12" s="57">
        <v>8</v>
      </c>
      <c r="B12" s="58" t="s">
        <v>251</v>
      </c>
      <c r="C12" s="57"/>
      <c r="D12" s="59">
        <v>2400</v>
      </c>
      <c r="E12" s="59"/>
      <c r="F12" s="59">
        <v>2400</v>
      </c>
      <c r="G12" s="59">
        <f t="shared" si="0"/>
        <v>0</v>
      </c>
      <c r="H12" s="59">
        <v>2400</v>
      </c>
      <c r="I12" s="59"/>
      <c r="J12" s="59"/>
      <c r="K12" s="59">
        <v>2400</v>
      </c>
      <c r="L12" s="59">
        <f t="shared" si="1"/>
        <v>0</v>
      </c>
      <c r="M12" s="59">
        <v>2400</v>
      </c>
      <c r="N12" s="59"/>
      <c r="O12" s="59">
        <f>SUMIF('Nursery 2 - Payments'!C5:C154,B12,'Nursery 2 - Payments'!F5:F154)</f>
        <v>2400</v>
      </c>
      <c r="P12" s="60">
        <f t="shared" si="2"/>
        <v>0</v>
      </c>
      <c r="Q12" s="61" t="s">
        <v>227</v>
      </c>
    </row>
    <row r="13" spans="1:17" ht="15" customHeight="1" x14ac:dyDescent="0.25">
      <c r="A13" s="57">
        <v>9</v>
      </c>
      <c r="B13" s="63" t="s">
        <v>252</v>
      </c>
      <c r="C13" s="62"/>
      <c r="D13" s="64">
        <v>2400</v>
      </c>
      <c r="E13" s="64"/>
      <c r="F13" s="64">
        <v>1500</v>
      </c>
      <c r="G13" s="64">
        <f t="shared" si="0"/>
        <v>900</v>
      </c>
      <c r="H13" s="64">
        <v>2400</v>
      </c>
      <c r="I13" s="64"/>
      <c r="J13" s="64"/>
      <c r="K13" s="64">
        <v>2400</v>
      </c>
      <c r="L13" s="64">
        <f t="shared" si="1"/>
        <v>0</v>
      </c>
      <c r="M13" s="64">
        <v>2400</v>
      </c>
      <c r="N13" s="64"/>
      <c r="O13" s="64">
        <f>SUMIF('Nursery 2 - Payments'!C5:C154,B13,'Nursery 2 - Payments'!F5:F154)</f>
        <v>4800</v>
      </c>
      <c r="P13" s="65">
        <f t="shared" si="2"/>
        <v>-2400</v>
      </c>
      <c r="Q13" s="66" t="s">
        <v>253</v>
      </c>
    </row>
    <row r="14" spans="1:17" ht="30.6" customHeight="1" x14ac:dyDescent="0.25">
      <c r="A14" s="57">
        <v>10</v>
      </c>
      <c r="B14" s="58" t="s">
        <v>254</v>
      </c>
      <c r="C14" s="57"/>
      <c r="D14" s="59">
        <v>2400</v>
      </c>
      <c r="E14" s="59"/>
      <c r="F14" s="59">
        <v>2400</v>
      </c>
      <c r="G14" s="59">
        <f t="shared" si="0"/>
        <v>0</v>
      </c>
      <c r="H14" s="59">
        <v>2400</v>
      </c>
      <c r="I14" s="59"/>
      <c r="J14" s="59"/>
      <c r="K14" s="59">
        <v>2400</v>
      </c>
      <c r="L14" s="59">
        <f t="shared" si="1"/>
        <v>0</v>
      </c>
      <c r="M14" s="59">
        <v>2400</v>
      </c>
      <c r="N14" s="59"/>
      <c r="O14" s="59">
        <f>SUMIF('Nursery 2 - Payments'!C5:C154,B14,'Nursery 2 - Payments'!F5:F154)</f>
        <v>2800</v>
      </c>
      <c r="P14" s="60">
        <f t="shared" si="2"/>
        <v>-400</v>
      </c>
      <c r="Q14" s="61" t="s">
        <v>227</v>
      </c>
    </row>
    <row r="15" spans="1:17" ht="30.95" customHeight="1" x14ac:dyDescent="0.25">
      <c r="A15" s="57">
        <v>11</v>
      </c>
      <c r="B15" s="63" t="s">
        <v>255</v>
      </c>
      <c r="C15" s="62"/>
      <c r="D15" s="64">
        <v>2400</v>
      </c>
      <c r="E15" s="64"/>
      <c r="F15" s="64">
        <v>2400</v>
      </c>
      <c r="G15" s="64">
        <f t="shared" si="0"/>
        <v>0</v>
      </c>
      <c r="H15" s="64">
        <v>2400</v>
      </c>
      <c r="I15" s="64"/>
      <c r="J15" s="64"/>
      <c r="K15" s="64">
        <v>2400</v>
      </c>
      <c r="L15" s="64">
        <f t="shared" si="1"/>
        <v>0</v>
      </c>
      <c r="M15" s="64">
        <v>2400</v>
      </c>
      <c r="N15" s="64"/>
      <c r="O15" s="64">
        <v>2400</v>
      </c>
      <c r="P15" s="65">
        <f t="shared" si="2"/>
        <v>0</v>
      </c>
      <c r="Q15" s="66" t="s">
        <v>227</v>
      </c>
    </row>
    <row r="16" spans="1:17" ht="30" customHeight="1" x14ac:dyDescent="0.25">
      <c r="A16" s="57">
        <v>12</v>
      </c>
      <c r="B16" s="58" t="s">
        <v>256</v>
      </c>
      <c r="C16" s="57" t="s">
        <v>98</v>
      </c>
      <c r="D16" s="59"/>
      <c r="E16" s="59"/>
      <c r="F16" s="59"/>
      <c r="G16" s="59">
        <f t="shared" si="0"/>
        <v>0</v>
      </c>
      <c r="H16" s="59">
        <v>4400</v>
      </c>
      <c r="I16" s="59"/>
      <c r="J16" s="59">
        <v>120</v>
      </c>
      <c r="K16" s="59">
        <v>4280</v>
      </c>
      <c r="L16" s="59">
        <f t="shared" si="1"/>
        <v>0</v>
      </c>
      <c r="M16" s="59">
        <v>4800</v>
      </c>
      <c r="N16" s="59">
        <v>240</v>
      </c>
      <c r="O16" s="59">
        <f>SUMIF('Nursery 2 - Payments'!C5:C154,B16,'Nursery 2 - Payments'!F5:F154)</f>
        <v>2280</v>
      </c>
      <c r="P16" s="60">
        <f t="shared" si="2"/>
        <v>2280</v>
      </c>
      <c r="Q16" s="61" t="s">
        <v>257</v>
      </c>
    </row>
    <row r="17" spans="1:17" ht="15" customHeight="1" x14ac:dyDescent="0.25">
      <c r="A17" s="57">
        <v>13</v>
      </c>
      <c r="B17" s="63" t="s">
        <v>349</v>
      </c>
      <c r="C17" s="62"/>
      <c r="D17" s="64"/>
      <c r="E17" s="64"/>
      <c r="F17" s="64"/>
      <c r="G17" s="64">
        <f t="shared" si="0"/>
        <v>0</v>
      </c>
      <c r="H17" s="64">
        <v>2400</v>
      </c>
      <c r="I17" s="64"/>
      <c r="J17" s="64"/>
      <c r="K17" s="64">
        <v>2400</v>
      </c>
      <c r="L17" s="64">
        <v>0</v>
      </c>
      <c r="M17" s="64">
        <v>2400</v>
      </c>
      <c r="N17" s="64"/>
      <c r="O17" s="64">
        <f>SUMIF('Nursery 2 - Payments'!C5:C154,B17,'Nursery 2 - Payments'!F5:F154)</f>
        <v>1500</v>
      </c>
      <c r="P17" s="65">
        <f t="shared" si="2"/>
        <v>900</v>
      </c>
      <c r="Q17" s="66" t="s">
        <v>258</v>
      </c>
    </row>
    <row r="18" spans="1:17" ht="15" customHeight="1" x14ac:dyDescent="0.25">
      <c r="A18" s="57">
        <v>14</v>
      </c>
      <c r="B18" s="58"/>
      <c r="C18" s="57"/>
      <c r="D18" s="59"/>
      <c r="E18" s="59"/>
      <c r="F18" s="59"/>
      <c r="G18" s="59" t="str">
        <f t="shared" ref="G18:G27" si="3">IF(B18="","",0)</f>
        <v/>
      </c>
      <c r="H18" s="59"/>
      <c r="I18" s="59"/>
      <c r="J18" s="59"/>
      <c r="K18" s="59"/>
      <c r="L18" s="59" t="str">
        <f t="shared" ref="L18:L27" si="4">IF(B18="","",0)</f>
        <v/>
      </c>
      <c r="M18" s="59"/>
      <c r="N18" s="59"/>
      <c r="O18" s="59"/>
      <c r="P18" s="59" t="str">
        <f t="shared" ref="P18:P27" si="5">IF(B18="","",0)</f>
        <v/>
      </c>
      <c r="Q18" s="61"/>
    </row>
    <row r="19" spans="1:17" ht="15" customHeight="1" x14ac:dyDescent="0.25">
      <c r="A19" s="57">
        <v>15</v>
      </c>
      <c r="B19" s="63"/>
      <c r="C19" s="62"/>
      <c r="D19" s="64"/>
      <c r="E19" s="64"/>
      <c r="F19" s="64"/>
      <c r="G19" s="64" t="str">
        <f t="shared" si="3"/>
        <v/>
      </c>
      <c r="H19" s="64"/>
      <c r="I19" s="64"/>
      <c r="J19" s="64"/>
      <c r="K19" s="64"/>
      <c r="L19" s="64" t="str">
        <f t="shared" si="4"/>
        <v/>
      </c>
      <c r="M19" s="64"/>
      <c r="N19" s="64"/>
      <c r="O19" s="64"/>
      <c r="P19" s="64" t="str">
        <f t="shared" si="5"/>
        <v/>
      </c>
      <c r="Q19" s="66"/>
    </row>
    <row r="20" spans="1:17" ht="15" customHeight="1" x14ac:dyDescent="0.25">
      <c r="A20" s="57">
        <v>16</v>
      </c>
      <c r="B20" s="58"/>
      <c r="C20" s="57"/>
      <c r="D20" s="59"/>
      <c r="E20" s="59"/>
      <c r="F20" s="59"/>
      <c r="G20" s="59" t="str">
        <f t="shared" si="3"/>
        <v/>
      </c>
      <c r="H20" s="59"/>
      <c r="I20" s="59"/>
      <c r="J20" s="59"/>
      <c r="K20" s="59"/>
      <c r="L20" s="59" t="str">
        <f t="shared" si="4"/>
        <v/>
      </c>
      <c r="M20" s="59"/>
      <c r="N20" s="59"/>
      <c r="O20" s="59"/>
      <c r="P20" s="59" t="str">
        <f t="shared" si="5"/>
        <v/>
      </c>
      <c r="Q20" s="61"/>
    </row>
    <row r="21" spans="1:17" ht="15" customHeight="1" x14ac:dyDescent="0.25">
      <c r="A21" s="57">
        <v>17</v>
      </c>
      <c r="B21" s="63"/>
      <c r="C21" s="62"/>
      <c r="D21" s="64"/>
      <c r="E21" s="64"/>
      <c r="F21" s="64"/>
      <c r="G21" s="64" t="str">
        <f t="shared" si="3"/>
        <v/>
      </c>
      <c r="H21" s="64"/>
      <c r="I21" s="64"/>
      <c r="J21" s="64"/>
      <c r="K21" s="64"/>
      <c r="L21" s="64" t="str">
        <f t="shared" si="4"/>
        <v/>
      </c>
      <c r="M21" s="64"/>
      <c r="N21" s="64"/>
      <c r="O21" s="64"/>
      <c r="P21" s="64" t="str">
        <f t="shared" si="5"/>
        <v/>
      </c>
      <c r="Q21" s="66"/>
    </row>
    <row r="22" spans="1:17" ht="15" customHeight="1" x14ac:dyDescent="0.25">
      <c r="A22" s="57">
        <v>18</v>
      </c>
      <c r="B22" s="58"/>
      <c r="C22" s="57"/>
      <c r="D22" s="59"/>
      <c r="E22" s="59"/>
      <c r="F22" s="59"/>
      <c r="G22" s="59" t="str">
        <f t="shared" si="3"/>
        <v/>
      </c>
      <c r="H22" s="59"/>
      <c r="I22" s="59"/>
      <c r="J22" s="59"/>
      <c r="K22" s="59"/>
      <c r="L22" s="59" t="str">
        <f t="shared" si="4"/>
        <v/>
      </c>
      <c r="M22" s="59"/>
      <c r="N22" s="59"/>
      <c r="O22" s="59"/>
      <c r="P22" s="59" t="str">
        <f t="shared" si="5"/>
        <v/>
      </c>
      <c r="Q22" s="61"/>
    </row>
    <row r="23" spans="1:17" ht="15" customHeight="1" x14ac:dyDescent="0.25">
      <c r="A23" s="57">
        <v>19</v>
      </c>
      <c r="B23" s="63"/>
      <c r="C23" s="62"/>
      <c r="D23" s="64"/>
      <c r="E23" s="64"/>
      <c r="F23" s="64"/>
      <c r="G23" s="64" t="str">
        <f t="shared" si="3"/>
        <v/>
      </c>
      <c r="H23" s="64"/>
      <c r="I23" s="64"/>
      <c r="J23" s="64"/>
      <c r="K23" s="64"/>
      <c r="L23" s="64" t="str">
        <f t="shared" si="4"/>
        <v/>
      </c>
      <c r="M23" s="64"/>
      <c r="N23" s="64"/>
      <c r="O23" s="64"/>
      <c r="P23" s="64" t="str">
        <f t="shared" si="5"/>
        <v/>
      </c>
      <c r="Q23" s="66"/>
    </row>
    <row r="24" spans="1:17" ht="15" customHeight="1" x14ac:dyDescent="0.25">
      <c r="A24" s="57">
        <v>20</v>
      </c>
      <c r="B24" s="58"/>
      <c r="C24" s="57"/>
      <c r="D24" s="59"/>
      <c r="E24" s="59"/>
      <c r="F24" s="59"/>
      <c r="G24" s="59" t="str">
        <f t="shared" si="3"/>
        <v/>
      </c>
      <c r="H24" s="59"/>
      <c r="I24" s="59"/>
      <c r="J24" s="59"/>
      <c r="K24" s="59"/>
      <c r="L24" s="59" t="str">
        <f t="shared" si="4"/>
        <v/>
      </c>
      <c r="M24" s="59"/>
      <c r="N24" s="59"/>
      <c r="O24" s="59"/>
      <c r="P24" s="59" t="str">
        <f t="shared" si="5"/>
        <v/>
      </c>
      <c r="Q24" s="61"/>
    </row>
    <row r="25" spans="1:17" ht="15" customHeight="1" x14ac:dyDescent="0.25">
      <c r="A25" s="57">
        <v>21</v>
      </c>
      <c r="B25" s="63"/>
      <c r="C25" s="62"/>
      <c r="D25" s="64"/>
      <c r="E25" s="64"/>
      <c r="F25" s="64"/>
      <c r="G25" s="64" t="str">
        <f t="shared" si="3"/>
        <v/>
      </c>
      <c r="H25" s="64"/>
      <c r="I25" s="64"/>
      <c r="J25" s="64"/>
      <c r="K25" s="64"/>
      <c r="L25" s="64" t="str">
        <f t="shared" si="4"/>
        <v/>
      </c>
      <c r="M25" s="64"/>
      <c r="N25" s="64"/>
      <c r="O25" s="64"/>
      <c r="P25" s="64" t="str">
        <f t="shared" si="5"/>
        <v/>
      </c>
      <c r="Q25" s="66"/>
    </row>
    <row r="26" spans="1:17" ht="15" customHeight="1" x14ac:dyDescent="0.25">
      <c r="A26" s="57">
        <v>22</v>
      </c>
      <c r="B26" s="58"/>
      <c r="C26" s="57"/>
      <c r="D26" s="59"/>
      <c r="E26" s="59"/>
      <c r="F26" s="59"/>
      <c r="G26" s="59" t="str">
        <f t="shared" si="3"/>
        <v/>
      </c>
      <c r="H26" s="59"/>
      <c r="I26" s="59"/>
      <c r="J26" s="59"/>
      <c r="K26" s="59"/>
      <c r="L26" s="59" t="str">
        <f t="shared" si="4"/>
        <v/>
      </c>
      <c r="M26" s="59"/>
      <c r="N26" s="59"/>
      <c r="O26" s="59"/>
      <c r="P26" s="59" t="str">
        <f t="shared" si="5"/>
        <v/>
      </c>
      <c r="Q26" s="61"/>
    </row>
    <row r="27" spans="1:17" ht="15" customHeight="1" x14ac:dyDescent="0.25">
      <c r="A27" s="57">
        <v>23</v>
      </c>
      <c r="B27" s="63"/>
      <c r="C27" s="62"/>
      <c r="D27" s="64"/>
      <c r="E27" s="64"/>
      <c r="F27" s="64"/>
      <c r="G27" s="64" t="str">
        <f t="shared" si="3"/>
        <v/>
      </c>
      <c r="H27" s="64"/>
      <c r="I27" s="64"/>
      <c r="J27" s="64"/>
      <c r="K27" s="64"/>
      <c r="L27" s="64" t="str">
        <f t="shared" si="4"/>
        <v/>
      </c>
      <c r="M27" s="64"/>
      <c r="N27" s="64"/>
      <c r="O27" s="64"/>
      <c r="P27" s="64" t="str">
        <f t="shared" si="5"/>
        <v/>
      </c>
      <c r="Q27" s="66"/>
    </row>
    <row r="28" spans="1:17" ht="15" customHeight="1" x14ac:dyDescent="0.25">
      <c r="A28" s="28"/>
      <c r="B28" s="28" t="s">
        <v>84</v>
      </c>
      <c r="C28" s="28"/>
      <c r="D28" s="29">
        <f t="shared" ref="D28:P28" si="6">SUM(D5:D27)</f>
        <v>24320</v>
      </c>
      <c r="E28" s="29">
        <f t="shared" si="6"/>
        <v>0</v>
      </c>
      <c r="F28" s="29">
        <f t="shared" si="6"/>
        <v>23420</v>
      </c>
      <c r="G28" s="29">
        <f t="shared" si="6"/>
        <v>900</v>
      </c>
      <c r="H28" s="29">
        <f t="shared" si="6"/>
        <v>33200</v>
      </c>
      <c r="I28" s="29">
        <f t="shared" si="6"/>
        <v>0</v>
      </c>
      <c r="J28" s="29">
        <f t="shared" si="6"/>
        <v>4280</v>
      </c>
      <c r="K28" s="29">
        <f t="shared" si="6"/>
        <v>28920</v>
      </c>
      <c r="L28" s="29">
        <f t="shared" si="6"/>
        <v>0</v>
      </c>
      <c r="M28" s="29">
        <f t="shared" si="6"/>
        <v>38400</v>
      </c>
      <c r="N28" s="29">
        <f t="shared" si="6"/>
        <v>5760</v>
      </c>
      <c r="O28" s="29">
        <f t="shared" si="6"/>
        <v>27440</v>
      </c>
      <c r="P28" s="29">
        <f t="shared" si="6"/>
        <v>5200</v>
      </c>
      <c r="Q28" s="61"/>
    </row>
    <row r="29" spans="1:17" ht="15" customHeight="1" x14ac:dyDescent="0.25">
      <c r="B29" s="67" t="s">
        <v>169</v>
      </c>
      <c r="F29" s="68" t="s">
        <v>170</v>
      </c>
      <c r="G29" s="69">
        <f>IF(D28+E28=0,1,F28/(D28+E28))</f>
        <v>0.96299342105263153</v>
      </c>
      <c r="K29" s="68" t="s">
        <v>171</v>
      </c>
      <c r="L29" s="70">
        <f>IF(H28+I28-J28=0,1,K28/(H28+I28-J28))</f>
        <v>1</v>
      </c>
      <c r="O29" s="71">
        <f>SUMIF('Nursery 2 - Payments'!C5:C154,B29,'Nursery 2 - Payments'!F5:F154)</f>
        <v>0</v>
      </c>
      <c r="Q29" s="66"/>
    </row>
  </sheetData>
  <mergeCells count="5">
    <mergeCell ref="A1:O1"/>
    <mergeCell ref="A3:C3"/>
    <mergeCell ref="D3:G3"/>
    <mergeCell ref="H3:L3"/>
    <mergeCell ref="M3:P3"/>
  </mergeCells>
  <dataValidations count="1">
    <dataValidation type="list" allowBlank="1" showInputMessage="1" showErrorMessage="1" errorTitle="Invalid Entry" error="Select from: None, Founding Family, Sibling, Sibling 2nd, Sibling 3rd, Staff Child, or Waiver." promptTitle="Discount Type" prompt="Select discount type or &quot;None&quot; for full-fee pupils." sqref="C5:C27" xr:uid="{00000000-0002-0000-0600-000000000000}">
      <formula1>"None,Founding Family,Sibling,Sibling 2nd,Sibling 3rd,Staff Child,Waiver"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4A017"/>
  </sheetPr>
  <dimension ref="A1:P182"/>
  <sheetViews>
    <sheetView zoomScaleNormal="100" workbookViewId="0">
      <pane xSplit="2" ySplit="4" topLeftCell="C17" activePane="bottomRight" state="frozen"/>
      <selection pane="topRight" activeCell="C1" sqref="C1"/>
      <selection pane="bottomLeft" activeCell="A5" sqref="A5"/>
      <selection pane="bottomRight" activeCell="E27" sqref="E27"/>
    </sheetView>
  </sheetViews>
  <sheetFormatPr defaultColWidth="8.7109375" defaultRowHeight="15" x14ac:dyDescent="0.25"/>
  <cols>
    <col min="1" max="1" width="12" customWidth="1"/>
    <col min="2" max="2" width="13" customWidth="1"/>
    <col min="3" max="3" width="30" customWidth="1"/>
    <col min="4" max="4" width="15.28515625" customWidth="1"/>
    <col min="5" max="5" width="18" customWidth="1"/>
    <col min="6" max="6" width="14" customWidth="1"/>
    <col min="7" max="7" width="20" customWidth="1"/>
    <col min="8" max="8" width="37.42578125" customWidth="1"/>
    <col min="9" max="9" width="14" customWidth="1"/>
    <col min="10" max="10" width="10" customWidth="1"/>
    <col min="11" max="11" width="28" customWidth="1"/>
    <col min="16" max="16" width="13" hidden="1" customWidth="1"/>
  </cols>
  <sheetData>
    <row r="1" spans="1:16" ht="25.5" customHeight="1" x14ac:dyDescent="0.25">
      <c r="A1" s="136" t="s">
        <v>259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P1" t="s">
        <v>242</v>
      </c>
    </row>
    <row r="2" spans="1:16" ht="15" customHeight="1" x14ac:dyDescent="0.25">
      <c r="A2" s="131" t="s">
        <v>173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P2" t="s">
        <v>260</v>
      </c>
    </row>
    <row r="3" spans="1:16" ht="15" customHeight="1" x14ac:dyDescent="0.25">
      <c r="A3" s="132" t="s">
        <v>174</v>
      </c>
      <c r="B3" s="132"/>
      <c r="C3" s="132"/>
      <c r="D3" s="132"/>
      <c r="E3" s="132"/>
      <c r="F3" s="132"/>
      <c r="G3" s="137" t="s">
        <v>175</v>
      </c>
      <c r="H3" s="137"/>
      <c r="I3" s="137"/>
      <c r="J3" s="134" t="s">
        <v>176</v>
      </c>
      <c r="K3" s="134"/>
      <c r="P3" t="s">
        <v>245</v>
      </c>
    </row>
    <row r="4" spans="1:16" ht="25.5" customHeight="1" x14ac:dyDescent="0.25">
      <c r="A4" s="2" t="s">
        <v>177</v>
      </c>
      <c r="B4" s="2" t="s">
        <v>178</v>
      </c>
      <c r="C4" s="2" t="s">
        <v>88</v>
      </c>
      <c r="D4" s="2" t="s">
        <v>179</v>
      </c>
      <c r="E4" s="2" t="s">
        <v>180</v>
      </c>
      <c r="F4" s="2" t="s">
        <v>181</v>
      </c>
      <c r="G4" s="13" t="s">
        <v>182</v>
      </c>
      <c r="H4" s="13" t="s">
        <v>183</v>
      </c>
      <c r="I4" s="13" t="s">
        <v>184</v>
      </c>
      <c r="J4" s="8" t="s">
        <v>185</v>
      </c>
      <c r="K4" s="8" t="s">
        <v>36</v>
      </c>
      <c r="P4" t="s">
        <v>246</v>
      </c>
    </row>
    <row r="5" spans="1:16" ht="15" customHeight="1" x14ac:dyDescent="0.25">
      <c r="A5" s="72">
        <v>46111</v>
      </c>
      <c r="B5" s="57">
        <v>1026</v>
      </c>
      <c r="C5" s="58" t="s">
        <v>119</v>
      </c>
      <c r="D5" s="57" t="s">
        <v>336</v>
      </c>
      <c r="E5" s="57"/>
      <c r="F5" s="59">
        <v>550</v>
      </c>
      <c r="G5" s="57" t="s">
        <v>189</v>
      </c>
      <c r="H5" s="58" t="s">
        <v>337</v>
      </c>
      <c r="I5" s="99">
        <f>IF(F5="","",F5)</f>
        <v>550</v>
      </c>
      <c r="J5" s="57"/>
      <c r="K5" s="58"/>
      <c r="P5" t="s">
        <v>249</v>
      </c>
    </row>
    <row r="6" spans="1:16" ht="15" customHeight="1" x14ac:dyDescent="0.25">
      <c r="A6" s="74">
        <v>46112</v>
      </c>
      <c r="B6" s="62">
        <v>1027</v>
      </c>
      <c r="C6" s="63" t="s">
        <v>254</v>
      </c>
      <c r="D6" s="62" t="s">
        <v>336</v>
      </c>
      <c r="E6" s="62"/>
      <c r="F6" s="64">
        <v>400</v>
      </c>
      <c r="G6" s="62" t="s">
        <v>189</v>
      </c>
      <c r="H6" s="63" t="s">
        <v>337</v>
      </c>
      <c r="I6" s="100">
        <f t="shared" ref="I6:I37" si="0">IF(F6="","",IF(I5="",F6,I5+F6))</f>
        <v>950</v>
      </c>
      <c r="J6" s="62"/>
      <c r="K6" s="63"/>
      <c r="P6" t="s">
        <v>250</v>
      </c>
    </row>
    <row r="7" spans="1:16" ht="15" customHeight="1" x14ac:dyDescent="0.25">
      <c r="A7" s="72">
        <v>46139</v>
      </c>
      <c r="B7" s="57">
        <v>1051</v>
      </c>
      <c r="C7" s="58" t="s">
        <v>246</v>
      </c>
      <c r="D7" s="57" t="s">
        <v>342</v>
      </c>
      <c r="E7" s="57" t="s">
        <v>197</v>
      </c>
      <c r="F7" s="59">
        <v>1000</v>
      </c>
      <c r="G7" s="57" t="s">
        <v>338</v>
      </c>
      <c r="H7" s="58" t="s">
        <v>337</v>
      </c>
      <c r="I7" s="99">
        <f t="shared" si="0"/>
        <v>1950</v>
      </c>
      <c r="J7" s="57"/>
      <c r="K7" s="58"/>
      <c r="P7" t="s">
        <v>251</v>
      </c>
    </row>
    <row r="8" spans="1:16" ht="15" customHeight="1" x14ac:dyDescent="0.25">
      <c r="A8" s="72">
        <v>46139</v>
      </c>
      <c r="B8" s="62">
        <v>1053</v>
      </c>
      <c r="C8" s="63" t="s">
        <v>261</v>
      </c>
      <c r="D8" s="62" t="s">
        <v>342</v>
      </c>
      <c r="E8" s="57" t="s">
        <v>197</v>
      </c>
      <c r="F8" s="64">
        <v>2400</v>
      </c>
      <c r="G8" s="62" t="s">
        <v>191</v>
      </c>
      <c r="H8" s="63" t="s">
        <v>337</v>
      </c>
      <c r="I8" s="100">
        <f t="shared" si="0"/>
        <v>4350</v>
      </c>
      <c r="J8" s="62"/>
      <c r="K8" s="63"/>
      <c r="P8" t="s">
        <v>252</v>
      </c>
    </row>
    <row r="9" spans="1:16" ht="15" customHeight="1" x14ac:dyDescent="0.25">
      <c r="A9" s="72">
        <v>46146</v>
      </c>
      <c r="B9" s="57">
        <v>1062</v>
      </c>
      <c r="C9" s="58" t="s">
        <v>246</v>
      </c>
      <c r="D9" s="57" t="s">
        <v>342</v>
      </c>
      <c r="E9" s="57" t="s">
        <v>198</v>
      </c>
      <c r="F9" s="59">
        <v>749.5</v>
      </c>
      <c r="G9" s="57" t="s">
        <v>338</v>
      </c>
      <c r="H9" s="58" t="s">
        <v>343</v>
      </c>
      <c r="I9" s="99">
        <f t="shared" si="0"/>
        <v>5099.5</v>
      </c>
      <c r="J9" s="57"/>
      <c r="K9" s="58"/>
      <c r="P9" t="s">
        <v>254</v>
      </c>
    </row>
    <row r="10" spans="1:16" ht="15" customHeight="1" x14ac:dyDescent="0.25">
      <c r="A10" s="74">
        <v>46149</v>
      </c>
      <c r="B10" s="62">
        <v>1066</v>
      </c>
      <c r="C10" s="63" t="s">
        <v>251</v>
      </c>
      <c r="D10" s="62" t="s">
        <v>342</v>
      </c>
      <c r="E10" s="62" t="s">
        <v>198</v>
      </c>
      <c r="F10" s="64">
        <v>2400</v>
      </c>
      <c r="G10" s="62" t="s">
        <v>189</v>
      </c>
      <c r="H10" s="63" t="s">
        <v>337</v>
      </c>
      <c r="I10" s="100">
        <f t="shared" si="0"/>
        <v>7499.5</v>
      </c>
      <c r="J10" s="62"/>
      <c r="K10" s="63"/>
      <c r="P10" t="s">
        <v>261</v>
      </c>
    </row>
    <row r="11" spans="1:16" ht="15" customHeight="1" x14ac:dyDescent="0.25">
      <c r="A11" s="72">
        <v>46157</v>
      </c>
      <c r="B11" s="57">
        <v>1074</v>
      </c>
      <c r="C11" s="58" t="s">
        <v>250</v>
      </c>
      <c r="D11" s="57" t="s">
        <v>342</v>
      </c>
      <c r="E11" s="57" t="s">
        <v>199</v>
      </c>
      <c r="F11" s="59">
        <v>1500</v>
      </c>
      <c r="G11" s="57" t="s">
        <v>338</v>
      </c>
      <c r="H11" s="58" t="s">
        <v>337</v>
      </c>
      <c r="I11" s="99">
        <f t="shared" si="0"/>
        <v>8999.5</v>
      </c>
      <c r="J11" s="57"/>
      <c r="K11" s="58"/>
      <c r="P11" t="s">
        <v>256</v>
      </c>
    </row>
    <row r="12" spans="1:16" ht="15" customHeight="1" x14ac:dyDescent="0.25">
      <c r="A12" s="74">
        <v>46157</v>
      </c>
      <c r="B12" s="62">
        <v>1075</v>
      </c>
      <c r="C12" s="63" t="s">
        <v>245</v>
      </c>
      <c r="D12" s="62" t="s">
        <v>342</v>
      </c>
      <c r="E12" s="62" t="s">
        <v>199</v>
      </c>
      <c r="F12" s="64">
        <v>2280</v>
      </c>
      <c r="G12" s="62" t="s">
        <v>191</v>
      </c>
      <c r="H12" s="63" t="s">
        <v>337</v>
      </c>
      <c r="I12" s="100">
        <f t="shared" si="0"/>
        <v>11279.5</v>
      </c>
      <c r="J12" s="62"/>
      <c r="K12" s="63"/>
      <c r="P12" t="s">
        <v>119</v>
      </c>
    </row>
    <row r="13" spans="1:16" ht="15" customHeight="1" x14ac:dyDescent="0.25">
      <c r="A13" s="72">
        <v>46157</v>
      </c>
      <c r="B13" s="57">
        <v>1076</v>
      </c>
      <c r="C13" s="58" t="s">
        <v>256</v>
      </c>
      <c r="D13" s="57" t="s">
        <v>342</v>
      </c>
      <c r="E13" s="57" t="s">
        <v>199</v>
      </c>
      <c r="F13" s="59">
        <v>2280</v>
      </c>
      <c r="G13" s="57" t="s">
        <v>191</v>
      </c>
      <c r="H13" s="58" t="s">
        <v>337</v>
      </c>
      <c r="I13" s="99">
        <f t="shared" si="0"/>
        <v>13559.5</v>
      </c>
      <c r="J13" s="57"/>
      <c r="K13" s="58"/>
    </row>
    <row r="14" spans="1:16" ht="15" customHeight="1" x14ac:dyDescent="0.25">
      <c r="A14" s="74">
        <v>46168</v>
      </c>
      <c r="B14" s="62">
        <v>1089</v>
      </c>
      <c r="C14" s="63" t="s">
        <v>246</v>
      </c>
      <c r="D14" s="62" t="s">
        <v>342</v>
      </c>
      <c r="E14" s="62" t="s">
        <v>201</v>
      </c>
      <c r="F14" s="64">
        <v>430.5</v>
      </c>
      <c r="G14" s="62" t="s">
        <v>338</v>
      </c>
      <c r="H14" s="63" t="s">
        <v>337</v>
      </c>
      <c r="I14" s="100">
        <f t="shared" si="0"/>
        <v>13990</v>
      </c>
      <c r="J14" s="62"/>
      <c r="K14" s="63"/>
    </row>
    <row r="15" spans="1:16" ht="15" customHeight="1" x14ac:dyDescent="0.25">
      <c r="A15" s="72">
        <v>46171</v>
      </c>
      <c r="B15" s="57">
        <v>1093</v>
      </c>
      <c r="C15" s="58" t="s">
        <v>252</v>
      </c>
      <c r="D15" s="57" t="s">
        <v>342</v>
      </c>
      <c r="E15" s="57" t="s">
        <v>201</v>
      </c>
      <c r="F15" s="59">
        <v>4800</v>
      </c>
      <c r="G15" s="57" t="s">
        <v>338</v>
      </c>
      <c r="H15" s="58" t="s">
        <v>337</v>
      </c>
      <c r="I15" s="99">
        <f t="shared" si="0"/>
        <v>18790</v>
      </c>
      <c r="J15" s="57"/>
      <c r="K15" s="58"/>
    </row>
    <row r="16" spans="1:16" ht="15" customHeight="1" x14ac:dyDescent="0.25">
      <c r="A16" s="74">
        <v>46171</v>
      </c>
      <c r="B16" s="62">
        <v>1094</v>
      </c>
      <c r="C16" s="63" t="s">
        <v>249</v>
      </c>
      <c r="D16" s="62" t="s">
        <v>342</v>
      </c>
      <c r="E16" s="62" t="s">
        <v>201</v>
      </c>
      <c r="F16" s="64">
        <v>1500</v>
      </c>
      <c r="G16" s="62" t="s">
        <v>191</v>
      </c>
      <c r="H16" s="63" t="s">
        <v>337</v>
      </c>
      <c r="I16" s="100">
        <f t="shared" si="0"/>
        <v>20290</v>
      </c>
      <c r="J16" s="62"/>
      <c r="K16" s="63"/>
    </row>
    <row r="17" spans="1:11" ht="15" customHeight="1" x14ac:dyDescent="0.25">
      <c r="A17" s="72">
        <v>46181</v>
      </c>
      <c r="B17" s="57">
        <v>1109</v>
      </c>
      <c r="C17" s="58" t="s">
        <v>254</v>
      </c>
      <c r="D17" s="57" t="s">
        <v>342</v>
      </c>
      <c r="E17" s="57" t="s">
        <v>203</v>
      </c>
      <c r="F17" s="59">
        <v>2400</v>
      </c>
      <c r="G17" s="57" t="s">
        <v>338</v>
      </c>
      <c r="H17" s="58" t="s">
        <v>337</v>
      </c>
      <c r="I17" s="99">
        <f t="shared" si="0"/>
        <v>22690</v>
      </c>
      <c r="J17" s="57"/>
      <c r="K17" s="58"/>
    </row>
    <row r="18" spans="1:11" ht="15" customHeight="1" x14ac:dyDescent="0.25">
      <c r="A18" s="74">
        <v>46192</v>
      </c>
      <c r="B18" s="62">
        <v>1118</v>
      </c>
      <c r="C18" s="63" t="s">
        <v>349</v>
      </c>
      <c r="D18" s="62" t="s">
        <v>342</v>
      </c>
      <c r="E18" s="62" t="s">
        <v>204</v>
      </c>
      <c r="F18" s="64">
        <v>1500</v>
      </c>
      <c r="G18" s="62" t="s">
        <v>338</v>
      </c>
      <c r="H18" s="63" t="s">
        <v>343</v>
      </c>
      <c r="I18" s="100">
        <f t="shared" si="0"/>
        <v>24190</v>
      </c>
      <c r="J18" s="62"/>
      <c r="K18" s="63"/>
    </row>
    <row r="19" spans="1:11" ht="15" customHeight="1" x14ac:dyDescent="0.25">
      <c r="A19" s="72">
        <v>46241</v>
      </c>
      <c r="B19" s="57">
        <v>1131</v>
      </c>
      <c r="C19" s="58" t="s">
        <v>249</v>
      </c>
      <c r="D19" s="57" t="s">
        <v>342</v>
      </c>
      <c r="E19" s="57" t="s">
        <v>207</v>
      </c>
      <c r="F19" s="59">
        <v>900</v>
      </c>
      <c r="G19" s="57" t="s">
        <v>191</v>
      </c>
      <c r="H19" s="58" t="s">
        <v>337</v>
      </c>
      <c r="I19" s="99">
        <f t="shared" si="0"/>
        <v>25090</v>
      </c>
      <c r="J19" s="57"/>
      <c r="K19" s="58"/>
    </row>
    <row r="20" spans="1:11" ht="15" customHeight="1" x14ac:dyDescent="0.25">
      <c r="A20" s="74">
        <v>46272</v>
      </c>
      <c r="B20" s="62">
        <v>1133</v>
      </c>
      <c r="C20" s="63" t="s">
        <v>250</v>
      </c>
      <c r="D20" s="62" t="s">
        <v>342</v>
      </c>
      <c r="E20" s="62" t="s">
        <v>207</v>
      </c>
      <c r="F20" s="64">
        <v>900</v>
      </c>
      <c r="G20" s="62" t="s">
        <v>338</v>
      </c>
      <c r="H20" s="63" t="s">
        <v>337</v>
      </c>
      <c r="I20" s="100">
        <f t="shared" si="0"/>
        <v>25990</v>
      </c>
      <c r="J20" s="62"/>
      <c r="K20" s="63"/>
    </row>
    <row r="21" spans="1:11" ht="15" customHeight="1" x14ac:dyDescent="0.25">
      <c r="A21" s="72">
        <v>46217</v>
      </c>
      <c r="B21" s="57">
        <v>1140</v>
      </c>
      <c r="C21" s="58" t="s">
        <v>260</v>
      </c>
      <c r="D21" s="57" t="s">
        <v>342</v>
      </c>
      <c r="E21" s="57" t="s">
        <v>209</v>
      </c>
      <c r="F21" s="59">
        <v>2400</v>
      </c>
      <c r="G21" s="57" t="s">
        <v>338</v>
      </c>
      <c r="H21" s="58" t="s">
        <v>343</v>
      </c>
      <c r="I21" s="99">
        <f t="shared" si="0"/>
        <v>28390</v>
      </c>
      <c r="J21" s="57"/>
      <c r="K21" s="58"/>
    </row>
    <row r="22" spans="1:11" ht="15" customHeight="1" x14ac:dyDescent="0.25">
      <c r="A22" s="74"/>
      <c r="B22" s="62"/>
      <c r="C22" s="63"/>
      <c r="D22" s="62"/>
      <c r="E22" s="62"/>
      <c r="F22" s="64"/>
      <c r="G22" s="62"/>
      <c r="H22" s="63"/>
      <c r="I22" s="100" t="str">
        <f t="shared" si="0"/>
        <v/>
      </c>
      <c r="J22" s="62"/>
      <c r="K22" s="63"/>
    </row>
    <row r="23" spans="1:11" ht="15" customHeight="1" x14ac:dyDescent="0.25">
      <c r="A23" s="72"/>
      <c r="B23" s="57"/>
      <c r="C23" s="58"/>
      <c r="D23" s="57"/>
      <c r="E23" s="57"/>
      <c r="F23" s="59"/>
      <c r="G23" s="57"/>
      <c r="H23" s="58"/>
      <c r="I23" s="99" t="str">
        <f t="shared" si="0"/>
        <v/>
      </c>
      <c r="J23" s="57"/>
      <c r="K23" s="58"/>
    </row>
    <row r="24" spans="1:11" ht="15" customHeight="1" x14ac:dyDescent="0.25">
      <c r="A24" s="74"/>
      <c r="B24" s="62"/>
      <c r="C24" s="63"/>
      <c r="D24" s="62"/>
      <c r="E24" s="62"/>
      <c r="F24" s="64"/>
      <c r="G24" s="62"/>
      <c r="H24" s="63"/>
      <c r="I24" s="100" t="str">
        <f t="shared" si="0"/>
        <v/>
      </c>
      <c r="J24" s="62"/>
      <c r="K24" s="63"/>
    </row>
    <row r="25" spans="1:11" ht="15" customHeight="1" x14ac:dyDescent="0.25">
      <c r="A25" s="72"/>
      <c r="B25" s="57"/>
      <c r="C25" s="58"/>
      <c r="D25" s="57"/>
      <c r="E25" s="57"/>
      <c r="F25" s="59"/>
      <c r="G25" s="57"/>
      <c r="H25" s="58"/>
      <c r="I25" s="99" t="str">
        <f t="shared" si="0"/>
        <v/>
      </c>
      <c r="J25" s="57"/>
      <c r="K25" s="58"/>
    </row>
    <row r="26" spans="1:11" ht="15" customHeight="1" x14ac:dyDescent="0.25">
      <c r="A26" s="74"/>
      <c r="B26" s="62"/>
      <c r="C26" s="63"/>
      <c r="D26" s="62"/>
      <c r="E26" s="62"/>
      <c r="F26" s="64"/>
      <c r="G26" s="62"/>
      <c r="H26" s="63"/>
      <c r="I26" s="100" t="str">
        <f t="shared" si="0"/>
        <v/>
      </c>
      <c r="J26" s="62"/>
      <c r="K26" s="63"/>
    </row>
    <row r="27" spans="1:11" ht="15" customHeight="1" x14ac:dyDescent="0.25">
      <c r="A27" s="72"/>
      <c r="B27" s="57"/>
      <c r="C27" s="58"/>
      <c r="D27" s="57"/>
      <c r="E27" s="57"/>
      <c r="F27" s="59"/>
      <c r="G27" s="57"/>
      <c r="H27" s="58"/>
      <c r="I27" s="99" t="str">
        <f t="shared" si="0"/>
        <v/>
      </c>
      <c r="J27" s="57"/>
      <c r="K27" s="58"/>
    </row>
    <row r="28" spans="1:11" ht="15" customHeight="1" x14ac:dyDescent="0.25">
      <c r="A28" s="74"/>
      <c r="B28" s="62"/>
      <c r="C28" s="63"/>
      <c r="D28" s="62"/>
      <c r="E28" s="62"/>
      <c r="F28" s="64"/>
      <c r="G28" s="62"/>
      <c r="H28" s="63"/>
      <c r="I28" s="100" t="str">
        <f t="shared" si="0"/>
        <v/>
      </c>
      <c r="J28" s="62"/>
      <c r="K28" s="63"/>
    </row>
    <row r="29" spans="1:11" ht="15" customHeight="1" x14ac:dyDescent="0.25">
      <c r="A29" s="72"/>
      <c r="B29" s="57"/>
      <c r="C29" s="58"/>
      <c r="D29" s="57"/>
      <c r="E29" s="57"/>
      <c r="F29" s="59"/>
      <c r="G29" s="57"/>
      <c r="H29" s="58"/>
      <c r="I29" s="99" t="str">
        <f t="shared" si="0"/>
        <v/>
      </c>
      <c r="J29" s="57"/>
      <c r="K29" s="58"/>
    </row>
    <row r="30" spans="1:11" ht="15" customHeight="1" x14ac:dyDescent="0.25">
      <c r="A30" s="74"/>
      <c r="B30" s="62"/>
      <c r="C30" s="63"/>
      <c r="D30" s="62"/>
      <c r="E30" s="62"/>
      <c r="F30" s="64"/>
      <c r="G30" s="62"/>
      <c r="H30" s="63"/>
      <c r="I30" s="100" t="str">
        <f t="shared" si="0"/>
        <v/>
      </c>
      <c r="J30" s="62"/>
      <c r="K30" s="63"/>
    </row>
    <row r="31" spans="1:11" ht="15" customHeight="1" x14ac:dyDescent="0.25">
      <c r="A31" s="72"/>
      <c r="B31" s="57"/>
      <c r="C31" s="58"/>
      <c r="D31" s="57"/>
      <c r="E31" s="57"/>
      <c r="F31" s="59"/>
      <c r="G31" s="57"/>
      <c r="H31" s="58"/>
      <c r="I31" s="99" t="str">
        <f t="shared" si="0"/>
        <v/>
      </c>
      <c r="J31" s="57"/>
      <c r="K31" s="58"/>
    </row>
    <row r="32" spans="1:11" ht="15" customHeight="1" x14ac:dyDescent="0.25">
      <c r="A32" s="74"/>
      <c r="B32" s="62"/>
      <c r="C32" s="63"/>
      <c r="D32" s="62"/>
      <c r="E32" s="62"/>
      <c r="F32" s="64"/>
      <c r="G32" s="62"/>
      <c r="H32" s="63"/>
      <c r="I32" s="100" t="str">
        <f t="shared" si="0"/>
        <v/>
      </c>
      <c r="J32" s="62"/>
      <c r="K32" s="63"/>
    </row>
    <row r="33" spans="1:11" ht="15" customHeight="1" x14ac:dyDescent="0.25">
      <c r="A33" s="72"/>
      <c r="B33" s="57"/>
      <c r="C33" s="58"/>
      <c r="D33" s="57"/>
      <c r="E33" s="57"/>
      <c r="F33" s="59"/>
      <c r="G33" s="57"/>
      <c r="H33" s="58"/>
      <c r="I33" s="99" t="str">
        <f t="shared" si="0"/>
        <v/>
      </c>
      <c r="J33" s="57"/>
      <c r="K33" s="58"/>
    </row>
    <row r="34" spans="1:11" ht="15" customHeight="1" x14ac:dyDescent="0.25">
      <c r="A34" s="74"/>
      <c r="B34" s="62"/>
      <c r="C34" s="63"/>
      <c r="D34" s="62"/>
      <c r="E34" s="62"/>
      <c r="F34" s="64"/>
      <c r="G34" s="62"/>
      <c r="H34" s="63"/>
      <c r="I34" s="100" t="str">
        <f t="shared" si="0"/>
        <v/>
      </c>
      <c r="J34" s="62"/>
      <c r="K34" s="63"/>
    </row>
    <row r="35" spans="1:11" ht="15" customHeight="1" x14ac:dyDescent="0.25">
      <c r="A35" s="72"/>
      <c r="B35" s="57"/>
      <c r="C35" s="58"/>
      <c r="D35" s="57"/>
      <c r="E35" s="57"/>
      <c r="F35" s="59"/>
      <c r="G35" s="57"/>
      <c r="H35" s="58"/>
      <c r="I35" s="99" t="str">
        <f t="shared" si="0"/>
        <v/>
      </c>
      <c r="J35" s="57"/>
      <c r="K35" s="58"/>
    </row>
    <row r="36" spans="1:11" ht="15" customHeight="1" x14ac:dyDescent="0.25">
      <c r="A36" s="74"/>
      <c r="B36" s="62"/>
      <c r="C36" s="63"/>
      <c r="D36" s="62"/>
      <c r="E36" s="62"/>
      <c r="F36" s="64"/>
      <c r="G36" s="62"/>
      <c r="H36" s="63"/>
      <c r="I36" s="100" t="str">
        <f t="shared" si="0"/>
        <v/>
      </c>
      <c r="J36" s="62"/>
      <c r="K36" s="63"/>
    </row>
    <row r="37" spans="1:11" ht="15" customHeight="1" x14ac:dyDescent="0.25">
      <c r="A37" s="72"/>
      <c r="B37" s="57"/>
      <c r="C37" s="58"/>
      <c r="D37" s="57"/>
      <c r="E37" s="57"/>
      <c r="F37" s="59"/>
      <c r="G37" s="57"/>
      <c r="H37" s="58"/>
      <c r="I37" s="99" t="str">
        <f t="shared" si="0"/>
        <v/>
      </c>
      <c r="J37" s="57"/>
      <c r="K37" s="58"/>
    </row>
    <row r="38" spans="1:11" ht="15" customHeight="1" x14ac:dyDescent="0.25">
      <c r="A38" s="74"/>
      <c r="B38" s="62"/>
      <c r="C38" s="63"/>
      <c r="D38" s="62"/>
      <c r="E38" s="62"/>
      <c r="F38" s="64"/>
      <c r="G38" s="62"/>
      <c r="H38" s="63"/>
      <c r="I38" s="100" t="str">
        <f t="shared" ref="I38:I69" si="1">IF(F38="","",IF(I37="",F38,I37+F38))</f>
        <v/>
      </c>
      <c r="J38" s="62"/>
      <c r="K38" s="63"/>
    </row>
    <row r="39" spans="1:11" ht="15" customHeight="1" x14ac:dyDescent="0.25">
      <c r="A39" s="72"/>
      <c r="B39" s="57"/>
      <c r="C39" s="58"/>
      <c r="D39" s="57"/>
      <c r="E39" s="57"/>
      <c r="F39" s="59"/>
      <c r="G39" s="57"/>
      <c r="H39" s="58"/>
      <c r="I39" s="99" t="str">
        <f t="shared" si="1"/>
        <v/>
      </c>
      <c r="J39" s="57"/>
      <c r="K39" s="58"/>
    </row>
    <row r="40" spans="1:11" ht="15" customHeight="1" x14ac:dyDescent="0.25">
      <c r="A40" s="74"/>
      <c r="B40" s="62"/>
      <c r="C40" s="63"/>
      <c r="D40" s="62"/>
      <c r="E40" s="62"/>
      <c r="F40" s="64"/>
      <c r="G40" s="62"/>
      <c r="H40" s="63"/>
      <c r="I40" s="100" t="str">
        <f t="shared" si="1"/>
        <v/>
      </c>
      <c r="J40" s="62"/>
      <c r="K40" s="63"/>
    </row>
    <row r="41" spans="1:11" ht="15" customHeight="1" x14ac:dyDescent="0.25">
      <c r="A41" s="72"/>
      <c r="B41" s="57"/>
      <c r="C41" s="58"/>
      <c r="D41" s="57"/>
      <c r="E41" s="57"/>
      <c r="F41" s="59"/>
      <c r="G41" s="57"/>
      <c r="H41" s="58"/>
      <c r="I41" s="99" t="str">
        <f t="shared" si="1"/>
        <v/>
      </c>
      <c r="J41" s="57"/>
      <c r="K41" s="58"/>
    </row>
    <row r="42" spans="1:11" ht="15" customHeight="1" x14ac:dyDescent="0.25">
      <c r="A42" s="74"/>
      <c r="B42" s="62"/>
      <c r="C42" s="63"/>
      <c r="D42" s="62"/>
      <c r="E42" s="62"/>
      <c r="F42" s="64"/>
      <c r="G42" s="62"/>
      <c r="H42" s="63"/>
      <c r="I42" s="100" t="str">
        <f t="shared" si="1"/>
        <v/>
      </c>
      <c r="J42" s="62"/>
      <c r="K42" s="63"/>
    </row>
    <row r="43" spans="1:11" ht="15" customHeight="1" x14ac:dyDescent="0.25">
      <c r="A43" s="72"/>
      <c r="B43" s="57"/>
      <c r="C43" s="58"/>
      <c r="D43" s="57"/>
      <c r="E43" s="57"/>
      <c r="F43" s="59"/>
      <c r="G43" s="57"/>
      <c r="H43" s="58"/>
      <c r="I43" s="99" t="str">
        <f t="shared" si="1"/>
        <v/>
      </c>
      <c r="J43" s="57"/>
      <c r="K43" s="58"/>
    </row>
    <row r="44" spans="1:11" ht="15" customHeight="1" x14ac:dyDescent="0.25">
      <c r="A44" s="74"/>
      <c r="B44" s="62"/>
      <c r="C44" s="63"/>
      <c r="D44" s="62"/>
      <c r="E44" s="62"/>
      <c r="F44" s="64"/>
      <c r="G44" s="62"/>
      <c r="H44" s="63"/>
      <c r="I44" s="100" t="str">
        <f t="shared" si="1"/>
        <v/>
      </c>
      <c r="J44" s="62"/>
      <c r="K44" s="63"/>
    </row>
    <row r="45" spans="1:11" ht="15" customHeight="1" x14ac:dyDescent="0.25">
      <c r="A45" s="72"/>
      <c r="B45" s="57"/>
      <c r="C45" s="58"/>
      <c r="D45" s="57"/>
      <c r="E45" s="57"/>
      <c r="F45" s="59"/>
      <c r="G45" s="57"/>
      <c r="H45" s="58"/>
      <c r="I45" s="99" t="str">
        <f t="shared" si="1"/>
        <v/>
      </c>
      <c r="J45" s="57"/>
      <c r="K45" s="58"/>
    </row>
    <row r="46" spans="1:11" ht="15" customHeight="1" x14ac:dyDescent="0.25">
      <c r="A46" s="74"/>
      <c r="B46" s="62"/>
      <c r="C46" s="63"/>
      <c r="D46" s="62"/>
      <c r="E46" s="62"/>
      <c r="F46" s="64"/>
      <c r="G46" s="62"/>
      <c r="H46" s="63"/>
      <c r="I46" s="100" t="str">
        <f t="shared" si="1"/>
        <v/>
      </c>
      <c r="J46" s="62"/>
      <c r="K46" s="63"/>
    </row>
    <row r="47" spans="1:11" ht="15" customHeight="1" x14ac:dyDescent="0.25">
      <c r="A47" s="72"/>
      <c r="B47" s="57"/>
      <c r="C47" s="58"/>
      <c r="D47" s="57"/>
      <c r="E47" s="57"/>
      <c r="F47" s="59"/>
      <c r="G47" s="57"/>
      <c r="H47" s="58"/>
      <c r="I47" s="99" t="str">
        <f t="shared" si="1"/>
        <v/>
      </c>
      <c r="J47" s="57"/>
      <c r="K47" s="58"/>
    </row>
    <row r="48" spans="1:11" ht="15" customHeight="1" x14ac:dyDescent="0.25">
      <c r="A48" s="74"/>
      <c r="B48" s="62"/>
      <c r="C48" s="63"/>
      <c r="D48" s="62"/>
      <c r="E48" s="62"/>
      <c r="F48" s="64"/>
      <c r="G48" s="62"/>
      <c r="H48" s="63"/>
      <c r="I48" s="100" t="str">
        <f t="shared" si="1"/>
        <v/>
      </c>
      <c r="J48" s="62"/>
      <c r="K48" s="63"/>
    </row>
    <row r="49" spans="1:11" ht="15" customHeight="1" x14ac:dyDescent="0.25">
      <c r="A49" s="72"/>
      <c r="B49" s="57"/>
      <c r="C49" s="58"/>
      <c r="D49" s="57"/>
      <c r="E49" s="57"/>
      <c r="F49" s="59"/>
      <c r="G49" s="57"/>
      <c r="H49" s="58"/>
      <c r="I49" s="99" t="str">
        <f t="shared" si="1"/>
        <v/>
      </c>
      <c r="J49" s="57"/>
      <c r="K49" s="58"/>
    </row>
    <row r="50" spans="1:11" ht="15" customHeight="1" x14ac:dyDescent="0.25">
      <c r="A50" s="74"/>
      <c r="B50" s="62"/>
      <c r="C50" s="63"/>
      <c r="D50" s="62"/>
      <c r="E50" s="62"/>
      <c r="F50" s="64"/>
      <c r="G50" s="62"/>
      <c r="H50" s="63"/>
      <c r="I50" s="100" t="str">
        <f t="shared" si="1"/>
        <v/>
      </c>
      <c r="J50" s="62"/>
      <c r="K50" s="63"/>
    </row>
    <row r="51" spans="1:11" ht="15" customHeight="1" x14ac:dyDescent="0.25">
      <c r="A51" s="72"/>
      <c r="B51" s="57"/>
      <c r="C51" s="58"/>
      <c r="D51" s="57"/>
      <c r="E51" s="57"/>
      <c r="F51" s="59"/>
      <c r="G51" s="57"/>
      <c r="H51" s="58"/>
      <c r="I51" s="99" t="str">
        <f t="shared" si="1"/>
        <v/>
      </c>
      <c r="J51" s="57"/>
      <c r="K51" s="58"/>
    </row>
    <row r="52" spans="1:11" ht="15" customHeight="1" x14ac:dyDescent="0.25">
      <c r="A52" s="74"/>
      <c r="B52" s="62"/>
      <c r="C52" s="63"/>
      <c r="D52" s="62"/>
      <c r="E52" s="62"/>
      <c r="F52" s="64"/>
      <c r="G52" s="62"/>
      <c r="H52" s="63"/>
      <c r="I52" s="100" t="str">
        <f t="shared" si="1"/>
        <v/>
      </c>
      <c r="J52" s="62"/>
      <c r="K52" s="63"/>
    </row>
    <row r="53" spans="1:11" ht="15" customHeight="1" x14ac:dyDescent="0.25">
      <c r="A53" s="72"/>
      <c r="B53" s="57"/>
      <c r="C53" s="58"/>
      <c r="D53" s="57"/>
      <c r="E53" s="57"/>
      <c r="F53" s="59"/>
      <c r="G53" s="57"/>
      <c r="H53" s="58"/>
      <c r="I53" s="99" t="str">
        <f t="shared" si="1"/>
        <v/>
      </c>
      <c r="J53" s="57"/>
      <c r="K53" s="58"/>
    </row>
    <row r="54" spans="1:11" ht="15" customHeight="1" x14ac:dyDescent="0.25">
      <c r="A54" s="74"/>
      <c r="B54" s="62"/>
      <c r="C54" s="63"/>
      <c r="D54" s="62"/>
      <c r="E54" s="62"/>
      <c r="F54" s="64"/>
      <c r="G54" s="62"/>
      <c r="H54" s="63"/>
      <c r="I54" s="100" t="str">
        <f t="shared" si="1"/>
        <v/>
      </c>
      <c r="J54" s="62"/>
      <c r="K54" s="63"/>
    </row>
    <row r="55" spans="1:11" ht="15" customHeight="1" x14ac:dyDescent="0.25">
      <c r="A55" s="72"/>
      <c r="B55" s="57"/>
      <c r="C55" s="58"/>
      <c r="D55" s="57"/>
      <c r="E55" s="57"/>
      <c r="F55" s="59"/>
      <c r="G55" s="57"/>
      <c r="H55" s="58"/>
      <c r="I55" s="99" t="str">
        <f t="shared" si="1"/>
        <v/>
      </c>
      <c r="J55" s="57"/>
      <c r="K55" s="58"/>
    </row>
    <row r="56" spans="1:11" ht="15" customHeight="1" x14ac:dyDescent="0.25">
      <c r="A56" s="74"/>
      <c r="B56" s="62"/>
      <c r="C56" s="63"/>
      <c r="D56" s="62"/>
      <c r="E56" s="62"/>
      <c r="F56" s="64"/>
      <c r="G56" s="62"/>
      <c r="H56" s="63"/>
      <c r="I56" s="100" t="str">
        <f t="shared" si="1"/>
        <v/>
      </c>
      <c r="J56" s="62"/>
      <c r="K56" s="63"/>
    </row>
    <row r="57" spans="1:11" ht="15" customHeight="1" x14ac:dyDescent="0.25">
      <c r="A57" s="72"/>
      <c r="B57" s="57"/>
      <c r="C57" s="58"/>
      <c r="D57" s="57"/>
      <c r="E57" s="57"/>
      <c r="F57" s="59"/>
      <c r="G57" s="57"/>
      <c r="H57" s="58"/>
      <c r="I57" s="99" t="str">
        <f t="shared" si="1"/>
        <v/>
      </c>
      <c r="J57" s="57"/>
      <c r="K57" s="58"/>
    </row>
    <row r="58" spans="1:11" ht="15" customHeight="1" x14ac:dyDescent="0.25">
      <c r="A58" s="74"/>
      <c r="B58" s="62"/>
      <c r="C58" s="63"/>
      <c r="D58" s="62"/>
      <c r="E58" s="62"/>
      <c r="F58" s="64"/>
      <c r="G58" s="62"/>
      <c r="H58" s="63"/>
      <c r="I58" s="100" t="str">
        <f t="shared" si="1"/>
        <v/>
      </c>
      <c r="J58" s="62"/>
      <c r="K58" s="63"/>
    </row>
    <row r="59" spans="1:11" ht="15" customHeight="1" x14ac:dyDescent="0.25">
      <c r="A59" s="72"/>
      <c r="B59" s="57"/>
      <c r="C59" s="58"/>
      <c r="D59" s="57"/>
      <c r="E59" s="57"/>
      <c r="F59" s="59"/>
      <c r="G59" s="57"/>
      <c r="H59" s="58"/>
      <c r="I59" s="99" t="str">
        <f t="shared" si="1"/>
        <v/>
      </c>
      <c r="J59" s="57"/>
      <c r="K59" s="58"/>
    </row>
    <row r="60" spans="1:11" ht="15" customHeight="1" x14ac:dyDescent="0.25">
      <c r="A60" s="74"/>
      <c r="B60" s="62"/>
      <c r="C60" s="63"/>
      <c r="D60" s="62"/>
      <c r="E60" s="62"/>
      <c r="F60" s="64"/>
      <c r="G60" s="62"/>
      <c r="H60" s="63"/>
      <c r="I60" s="100" t="str">
        <f t="shared" si="1"/>
        <v/>
      </c>
      <c r="J60" s="62"/>
      <c r="K60" s="63"/>
    </row>
    <row r="61" spans="1:11" ht="15" customHeight="1" x14ac:dyDescent="0.25">
      <c r="A61" s="72"/>
      <c r="B61" s="57"/>
      <c r="C61" s="58"/>
      <c r="D61" s="57"/>
      <c r="E61" s="57"/>
      <c r="F61" s="59"/>
      <c r="G61" s="57"/>
      <c r="H61" s="58"/>
      <c r="I61" s="99" t="str">
        <f t="shared" si="1"/>
        <v/>
      </c>
      <c r="J61" s="57"/>
      <c r="K61" s="58"/>
    </row>
    <row r="62" spans="1:11" ht="15" customHeight="1" x14ac:dyDescent="0.25">
      <c r="A62" s="74"/>
      <c r="B62" s="62"/>
      <c r="C62" s="63"/>
      <c r="D62" s="62"/>
      <c r="E62" s="62"/>
      <c r="F62" s="64"/>
      <c r="G62" s="62"/>
      <c r="H62" s="63"/>
      <c r="I62" s="100" t="str">
        <f t="shared" si="1"/>
        <v/>
      </c>
      <c r="J62" s="62"/>
      <c r="K62" s="63"/>
    </row>
    <row r="63" spans="1:11" ht="15" customHeight="1" x14ac:dyDescent="0.25">
      <c r="A63" s="72"/>
      <c r="B63" s="57"/>
      <c r="C63" s="58"/>
      <c r="D63" s="57"/>
      <c r="E63" s="57"/>
      <c r="F63" s="59"/>
      <c r="G63" s="57"/>
      <c r="H63" s="58"/>
      <c r="I63" s="99" t="str">
        <f t="shared" si="1"/>
        <v/>
      </c>
      <c r="J63" s="57"/>
      <c r="K63" s="58"/>
    </row>
    <row r="64" spans="1:11" ht="15" customHeight="1" x14ac:dyDescent="0.25">
      <c r="A64" s="74"/>
      <c r="B64" s="62"/>
      <c r="C64" s="63"/>
      <c r="D64" s="62"/>
      <c r="E64" s="62"/>
      <c r="F64" s="64"/>
      <c r="G64" s="62"/>
      <c r="H64" s="63"/>
      <c r="I64" s="100" t="str">
        <f t="shared" si="1"/>
        <v/>
      </c>
      <c r="J64" s="62"/>
      <c r="K64" s="63"/>
    </row>
    <row r="65" spans="1:11" ht="15" customHeight="1" x14ac:dyDescent="0.25">
      <c r="A65" s="72"/>
      <c r="B65" s="57"/>
      <c r="C65" s="58"/>
      <c r="D65" s="57"/>
      <c r="E65" s="57"/>
      <c r="F65" s="59"/>
      <c r="G65" s="57"/>
      <c r="H65" s="58"/>
      <c r="I65" s="99" t="str">
        <f t="shared" si="1"/>
        <v/>
      </c>
      <c r="J65" s="57"/>
      <c r="K65" s="58"/>
    </row>
    <row r="66" spans="1:11" ht="15" customHeight="1" x14ac:dyDescent="0.25">
      <c r="A66" s="74"/>
      <c r="B66" s="62"/>
      <c r="C66" s="63"/>
      <c r="D66" s="62"/>
      <c r="E66" s="62"/>
      <c r="F66" s="64"/>
      <c r="G66" s="62"/>
      <c r="H66" s="63"/>
      <c r="I66" s="100" t="str">
        <f t="shared" si="1"/>
        <v/>
      </c>
      <c r="J66" s="62"/>
      <c r="K66" s="63"/>
    </row>
    <row r="67" spans="1:11" ht="15" customHeight="1" x14ac:dyDescent="0.25">
      <c r="A67" s="72"/>
      <c r="B67" s="57"/>
      <c r="C67" s="58"/>
      <c r="D67" s="57"/>
      <c r="E67" s="57"/>
      <c r="F67" s="59"/>
      <c r="G67" s="57"/>
      <c r="H67" s="58"/>
      <c r="I67" s="99" t="str">
        <f t="shared" si="1"/>
        <v/>
      </c>
      <c r="J67" s="57"/>
      <c r="K67" s="58"/>
    </row>
    <row r="68" spans="1:11" ht="15" customHeight="1" x14ac:dyDescent="0.25">
      <c r="A68" s="74"/>
      <c r="B68" s="62"/>
      <c r="C68" s="63"/>
      <c r="D68" s="62"/>
      <c r="E68" s="62"/>
      <c r="F68" s="64"/>
      <c r="G68" s="62"/>
      <c r="H68" s="63"/>
      <c r="I68" s="100" t="str">
        <f t="shared" si="1"/>
        <v/>
      </c>
      <c r="J68" s="62"/>
      <c r="K68" s="63"/>
    </row>
    <row r="69" spans="1:11" ht="15" customHeight="1" x14ac:dyDescent="0.25">
      <c r="A69" s="72"/>
      <c r="B69" s="57"/>
      <c r="C69" s="58"/>
      <c r="D69" s="57"/>
      <c r="E69" s="57"/>
      <c r="F69" s="59"/>
      <c r="G69" s="57"/>
      <c r="H69" s="58"/>
      <c r="I69" s="99" t="str">
        <f t="shared" si="1"/>
        <v/>
      </c>
      <c r="J69" s="57"/>
      <c r="K69" s="58"/>
    </row>
    <row r="70" spans="1:11" ht="15" customHeight="1" x14ac:dyDescent="0.25">
      <c r="A70" s="74"/>
      <c r="B70" s="62"/>
      <c r="C70" s="63"/>
      <c r="D70" s="62"/>
      <c r="E70" s="62"/>
      <c r="F70" s="64"/>
      <c r="G70" s="62"/>
      <c r="H70" s="63"/>
      <c r="I70" s="100" t="str">
        <f t="shared" ref="I70:I101" si="2">IF(F70="","",IF(I69="",F70,I69+F70))</f>
        <v/>
      </c>
      <c r="J70" s="62"/>
      <c r="K70" s="63"/>
    </row>
    <row r="71" spans="1:11" ht="15" customHeight="1" x14ac:dyDescent="0.25">
      <c r="A71" s="72"/>
      <c r="B71" s="57"/>
      <c r="C71" s="58"/>
      <c r="D71" s="57"/>
      <c r="E71" s="57"/>
      <c r="F71" s="59"/>
      <c r="G71" s="57"/>
      <c r="H71" s="58"/>
      <c r="I71" s="99" t="str">
        <f t="shared" si="2"/>
        <v/>
      </c>
      <c r="J71" s="57"/>
      <c r="K71" s="58"/>
    </row>
    <row r="72" spans="1:11" ht="15" customHeight="1" x14ac:dyDescent="0.25">
      <c r="A72" s="74"/>
      <c r="B72" s="62"/>
      <c r="C72" s="63"/>
      <c r="D72" s="62"/>
      <c r="E72" s="62"/>
      <c r="F72" s="64"/>
      <c r="G72" s="62"/>
      <c r="H72" s="63"/>
      <c r="I72" s="100" t="str">
        <f t="shared" si="2"/>
        <v/>
      </c>
      <c r="J72" s="62"/>
      <c r="K72" s="63"/>
    </row>
    <row r="73" spans="1:11" ht="15" customHeight="1" x14ac:dyDescent="0.25">
      <c r="A73" s="72"/>
      <c r="B73" s="57"/>
      <c r="C73" s="58"/>
      <c r="D73" s="57"/>
      <c r="E73" s="57"/>
      <c r="F73" s="59"/>
      <c r="G73" s="57"/>
      <c r="H73" s="58"/>
      <c r="I73" s="99" t="str">
        <f t="shared" si="2"/>
        <v/>
      </c>
      <c r="J73" s="57"/>
      <c r="K73" s="58"/>
    </row>
    <row r="74" spans="1:11" ht="15" customHeight="1" x14ac:dyDescent="0.25">
      <c r="A74" s="74"/>
      <c r="B74" s="62"/>
      <c r="C74" s="63"/>
      <c r="D74" s="62"/>
      <c r="E74" s="62"/>
      <c r="F74" s="64"/>
      <c r="G74" s="62"/>
      <c r="H74" s="63"/>
      <c r="I74" s="100" t="str">
        <f t="shared" si="2"/>
        <v/>
      </c>
      <c r="J74" s="62"/>
      <c r="K74" s="63"/>
    </row>
    <row r="75" spans="1:11" ht="15" customHeight="1" x14ac:dyDescent="0.25">
      <c r="A75" s="72"/>
      <c r="B75" s="57"/>
      <c r="C75" s="58"/>
      <c r="D75" s="57"/>
      <c r="E75" s="57"/>
      <c r="F75" s="59"/>
      <c r="G75" s="57"/>
      <c r="H75" s="58"/>
      <c r="I75" s="99" t="str">
        <f t="shared" si="2"/>
        <v/>
      </c>
      <c r="J75" s="57"/>
      <c r="K75" s="58"/>
    </row>
    <row r="76" spans="1:11" ht="15" customHeight="1" x14ac:dyDescent="0.25">
      <c r="A76" s="74"/>
      <c r="B76" s="62"/>
      <c r="C76" s="63"/>
      <c r="D76" s="62"/>
      <c r="E76" s="62"/>
      <c r="F76" s="64"/>
      <c r="G76" s="62"/>
      <c r="H76" s="63"/>
      <c r="I76" s="100" t="str">
        <f t="shared" si="2"/>
        <v/>
      </c>
      <c r="J76" s="62"/>
      <c r="K76" s="63"/>
    </row>
    <row r="77" spans="1:11" ht="15" customHeight="1" x14ac:dyDescent="0.25">
      <c r="A77" s="72"/>
      <c r="B77" s="57"/>
      <c r="C77" s="58"/>
      <c r="D77" s="57"/>
      <c r="E77" s="57"/>
      <c r="F77" s="59"/>
      <c r="G77" s="57"/>
      <c r="H77" s="58"/>
      <c r="I77" s="99" t="str">
        <f t="shared" si="2"/>
        <v/>
      </c>
      <c r="J77" s="57"/>
      <c r="K77" s="58"/>
    </row>
    <row r="78" spans="1:11" ht="15" customHeight="1" x14ac:dyDescent="0.25">
      <c r="A78" s="74"/>
      <c r="B78" s="62"/>
      <c r="C78" s="63"/>
      <c r="D78" s="62"/>
      <c r="E78" s="62"/>
      <c r="F78" s="64"/>
      <c r="G78" s="62"/>
      <c r="H78" s="63"/>
      <c r="I78" s="100" t="str">
        <f t="shared" si="2"/>
        <v/>
      </c>
      <c r="J78" s="62"/>
      <c r="K78" s="63"/>
    </row>
    <row r="79" spans="1:11" ht="15" customHeight="1" x14ac:dyDescent="0.25">
      <c r="A79" s="72"/>
      <c r="B79" s="57"/>
      <c r="C79" s="58"/>
      <c r="D79" s="57"/>
      <c r="E79" s="57"/>
      <c r="F79" s="59"/>
      <c r="G79" s="57"/>
      <c r="H79" s="58"/>
      <c r="I79" s="99" t="str">
        <f t="shared" si="2"/>
        <v/>
      </c>
      <c r="J79" s="57"/>
      <c r="K79" s="58"/>
    </row>
    <row r="80" spans="1:11" ht="15" customHeight="1" x14ac:dyDescent="0.25">
      <c r="A80" s="74"/>
      <c r="B80" s="62"/>
      <c r="C80" s="63"/>
      <c r="D80" s="62"/>
      <c r="E80" s="62"/>
      <c r="F80" s="64"/>
      <c r="G80" s="62"/>
      <c r="H80" s="63"/>
      <c r="I80" s="100" t="str">
        <f t="shared" si="2"/>
        <v/>
      </c>
      <c r="J80" s="62"/>
      <c r="K80" s="63"/>
    </row>
    <row r="81" spans="1:11" ht="15" customHeight="1" x14ac:dyDescent="0.25">
      <c r="A81" s="72"/>
      <c r="B81" s="57"/>
      <c r="C81" s="58"/>
      <c r="D81" s="57"/>
      <c r="E81" s="57"/>
      <c r="F81" s="59"/>
      <c r="G81" s="57"/>
      <c r="H81" s="58"/>
      <c r="I81" s="99" t="str">
        <f t="shared" si="2"/>
        <v/>
      </c>
      <c r="J81" s="57"/>
      <c r="K81" s="58"/>
    </row>
    <row r="82" spans="1:11" ht="15" customHeight="1" x14ac:dyDescent="0.25">
      <c r="A82" s="74"/>
      <c r="B82" s="62"/>
      <c r="C82" s="63"/>
      <c r="D82" s="62"/>
      <c r="E82" s="62"/>
      <c r="F82" s="64"/>
      <c r="G82" s="62"/>
      <c r="H82" s="63"/>
      <c r="I82" s="100" t="str">
        <f t="shared" si="2"/>
        <v/>
      </c>
      <c r="J82" s="62"/>
      <c r="K82" s="63"/>
    </row>
    <row r="83" spans="1:11" ht="15" customHeight="1" x14ac:dyDescent="0.25">
      <c r="A83" s="72"/>
      <c r="B83" s="57"/>
      <c r="C83" s="58"/>
      <c r="D83" s="57"/>
      <c r="E83" s="57"/>
      <c r="F83" s="59"/>
      <c r="G83" s="57"/>
      <c r="H83" s="58"/>
      <c r="I83" s="99" t="str">
        <f t="shared" si="2"/>
        <v/>
      </c>
      <c r="J83" s="57"/>
      <c r="K83" s="58"/>
    </row>
    <row r="84" spans="1:11" ht="15" customHeight="1" x14ac:dyDescent="0.25">
      <c r="A84" s="74"/>
      <c r="B84" s="62"/>
      <c r="C84" s="63"/>
      <c r="D84" s="62"/>
      <c r="E84" s="62"/>
      <c r="F84" s="64"/>
      <c r="G84" s="62"/>
      <c r="H84" s="63"/>
      <c r="I84" s="100" t="str">
        <f t="shared" si="2"/>
        <v/>
      </c>
      <c r="J84" s="62"/>
      <c r="K84" s="63"/>
    </row>
    <row r="85" spans="1:11" ht="15" customHeight="1" x14ac:dyDescent="0.25">
      <c r="A85" s="72"/>
      <c r="B85" s="57"/>
      <c r="C85" s="58"/>
      <c r="D85" s="57"/>
      <c r="E85" s="57"/>
      <c r="F85" s="59"/>
      <c r="G85" s="57"/>
      <c r="H85" s="58"/>
      <c r="I85" s="99" t="str">
        <f t="shared" si="2"/>
        <v/>
      </c>
      <c r="J85" s="57"/>
      <c r="K85" s="58"/>
    </row>
    <row r="86" spans="1:11" ht="15" customHeight="1" x14ac:dyDescent="0.25">
      <c r="A86" s="74"/>
      <c r="B86" s="62"/>
      <c r="C86" s="63"/>
      <c r="D86" s="62"/>
      <c r="E86" s="62"/>
      <c r="F86" s="64"/>
      <c r="G86" s="62"/>
      <c r="H86" s="63"/>
      <c r="I86" s="100" t="str">
        <f t="shared" si="2"/>
        <v/>
      </c>
      <c r="J86" s="62"/>
      <c r="K86" s="63"/>
    </row>
    <row r="87" spans="1:11" ht="15" customHeight="1" x14ac:dyDescent="0.25">
      <c r="A87" s="72"/>
      <c r="B87" s="57"/>
      <c r="C87" s="58"/>
      <c r="D87" s="57"/>
      <c r="E87" s="57"/>
      <c r="F87" s="59"/>
      <c r="G87" s="57"/>
      <c r="H87" s="58"/>
      <c r="I87" s="99" t="str">
        <f t="shared" si="2"/>
        <v/>
      </c>
      <c r="J87" s="57"/>
      <c r="K87" s="58"/>
    </row>
    <row r="88" spans="1:11" ht="15" customHeight="1" x14ac:dyDescent="0.25">
      <c r="A88" s="74"/>
      <c r="B88" s="62"/>
      <c r="C88" s="63"/>
      <c r="D88" s="62"/>
      <c r="E88" s="62"/>
      <c r="F88" s="64"/>
      <c r="G88" s="62"/>
      <c r="H88" s="63"/>
      <c r="I88" s="100" t="str">
        <f t="shared" si="2"/>
        <v/>
      </c>
      <c r="J88" s="62"/>
      <c r="K88" s="63"/>
    </row>
    <row r="89" spans="1:11" ht="15" customHeight="1" x14ac:dyDescent="0.25">
      <c r="A89" s="72"/>
      <c r="B89" s="57"/>
      <c r="C89" s="58"/>
      <c r="D89" s="57"/>
      <c r="E89" s="57"/>
      <c r="F89" s="59"/>
      <c r="G89" s="57"/>
      <c r="H89" s="58"/>
      <c r="I89" s="99" t="str">
        <f t="shared" si="2"/>
        <v/>
      </c>
      <c r="J89" s="57"/>
      <c r="K89" s="58"/>
    </row>
    <row r="90" spans="1:11" ht="15" customHeight="1" x14ac:dyDescent="0.25">
      <c r="A90" s="74"/>
      <c r="B90" s="62"/>
      <c r="C90" s="63"/>
      <c r="D90" s="62"/>
      <c r="E90" s="62"/>
      <c r="F90" s="64"/>
      <c r="G90" s="62"/>
      <c r="H90" s="63"/>
      <c r="I90" s="100" t="str">
        <f t="shared" si="2"/>
        <v/>
      </c>
      <c r="J90" s="62"/>
      <c r="K90" s="63"/>
    </row>
    <row r="91" spans="1:11" ht="15" customHeight="1" x14ac:dyDescent="0.25">
      <c r="A91" s="72"/>
      <c r="B91" s="57"/>
      <c r="C91" s="58"/>
      <c r="D91" s="57"/>
      <c r="E91" s="57"/>
      <c r="F91" s="59"/>
      <c r="G91" s="57"/>
      <c r="H91" s="58"/>
      <c r="I91" s="99" t="str">
        <f t="shared" si="2"/>
        <v/>
      </c>
      <c r="J91" s="57"/>
      <c r="K91" s="58"/>
    </row>
    <row r="92" spans="1:11" ht="15" customHeight="1" x14ac:dyDescent="0.25">
      <c r="A92" s="74"/>
      <c r="B92" s="62"/>
      <c r="C92" s="63"/>
      <c r="D92" s="62"/>
      <c r="E92" s="62"/>
      <c r="F92" s="64"/>
      <c r="G92" s="62"/>
      <c r="H92" s="63"/>
      <c r="I92" s="100" t="str">
        <f t="shared" si="2"/>
        <v/>
      </c>
      <c r="J92" s="62"/>
      <c r="K92" s="63"/>
    </row>
    <row r="93" spans="1:11" ht="15" customHeight="1" x14ac:dyDescent="0.25">
      <c r="A93" s="72"/>
      <c r="B93" s="57"/>
      <c r="C93" s="58"/>
      <c r="D93" s="57"/>
      <c r="E93" s="57"/>
      <c r="F93" s="59"/>
      <c r="G93" s="57"/>
      <c r="H93" s="58"/>
      <c r="I93" s="99" t="str">
        <f t="shared" si="2"/>
        <v/>
      </c>
      <c r="J93" s="57"/>
      <c r="K93" s="58"/>
    </row>
    <row r="94" spans="1:11" ht="15" customHeight="1" x14ac:dyDescent="0.25">
      <c r="A94" s="74"/>
      <c r="B94" s="62"/>
      <c r="C94" s="63"/>
      <c r="D94" s="62"/>
      <c r="E94" s="62"/>
      <c r="F94" s="64"/>
      <c r="G94" s="62"/>
      <c r="H94" s="63"/>
      <c r="I94" s="100" t="str">
        <f t="shared" si="2"/>
        <v/>
      </c>
      <c r="J94" s="62"/>
      <c r="K94" s="63"/>
    </row>
    <row r="95" spans="1:11" ht="15" customHeight="1" x14ac:dyDescent="0.25">
      <c r="A95" s="72"/>
      <c r="B95" s="57"/>
      <c r="C95" s="58"/>
      <c r="D95" s="57"/>
      <c r="E95" s="57"/>
      <c r="F95" s="59"/>
      <c r="G95" s="57"/>
      <c r="H95" s="58"/>
      <c r="I95" s="99" t="str">
        <f t="shared" si="2"/>
        <v/>
      </c>
      <c r="J95" s="57"/>
      <c r="K95" s="58"/>
    </row>
    <row r="96" spans="1:11" ht="15" customHeight="1" x14ac:dyDescent="0.25">
      <c r="A96" s="74"/>
      <c r="B96" s="62"/>
      <c r="C96" s="63"/>
      <c r="D96" s="62"/>
      <c r="E96" s="62"/>
      <c r="F96" s="64"/>
      <c r="G96" s="62"/>
      <c r="H96" s="63"/>
      <c r="I96" s="100" t="str">
        <f t="shared" si="2"/>
        <v/>
      </c>
      <c r="J96" s="62"/>
      <c r="K96" s="63"/>
    </row>
    <row r="97" spans="1:11" ht="15" customHeight="1" x14ac:dyDescent="0.25">
      <c r="A97" s="72"/>
      <c r="B97" s="57"/>
      <c r="C97" s="58"/>
      <c r="D97" s="57"/>
      <c r="E97" s="57"/>
      <c r="F97" s="59"/>
      <c r="G97" s="57"/>
      <c r="H97" s="58"/>
      <c r="I97" s="99" t="str">
        <f t="shared" si="2"/>
        <v/>
      </c>
      <c r="J97" s="57"/>
      <c r="K97" s="58"/>
    </row>
    <row r="98" spans="1:11" ht="15" customHeight="1" x14ac:dyDescent="0.25">
      <c r="A98" s="74"/>
      <c r="B98" s="62"/>
      <c r="C98" s="63"/>
      <c r="D98" s="62"/>
      <c r="E98" s="62"/>
      <c r="F98" s="64"/>
      <c r="G98" s="62"/>
      <c r="H98" s="63"/>
      <c r="I98" s="100" t="str">
        <f t="shared" si="2"/>
        <v/>
      </c>
      <c r="J98" s="62"/>
      <c r="K98" s="63"/>
    </row>
    <row r="99" spans="1:11" ht="15" customHeight="1" x14ac:dyDescent="0.25">
      <c r="A99" s="72"/>
      <c r="B99" s="57"/>
      <c r="C99" s="58"/>
      <c r="D99" s="57"/>
      <c r="E99" s="57"/>
      <c r="F99" s="59"/>
      <c r="G99" s="57"/>
      <c r="H99" s="58"/>
      <c r="I99" s="99" t="str">
        <f t="shared" si="2"/>
        <v/>
      </c>
      <c r="J99" s="57"/>
      <c r="K99" s="58"/>
    </row>
    <row r="100" spans="1:11" ht="15" customHeight="1" x14ac:dyDescent="0.25">
      <c r="A100" s="74"/>
      <c r="B100" s="62"/>
      <c r="C100" s="63"/>
      <c r="D100" s="62"/>
      <c r="E100" s="62"/>
      <c r="F100" s="64"/>
      <c r="G100" s="62"/>
      <c r="H100" s="63"/>
      <c r="I100" s="100" t="str">
        <f t="shared" si="2"/>
        <v/>
      </c>
      <c r="J100" s="62"/>
      <c r="K100" s="63"/>
    </row>
    <row r="101" spans="1:11" ht="15" customHeight="1" x14ac:dyDescent="0.25">
      <c r="A101" s="72"/>
      <c r="B101" s="57"/>
      <c r="C101" s="58"/>
      <c r="D101" s="57"/>
      <c r="E101" s="57"/>
      <c r="F101" s="59"/>
      <c r="G101" s="57"/>
      <c r="H101" s="58"/>
      <c r="I101" s="99" t="str">
        <f t="shared" si="2"/>
        <v/>
      </c>
      <c r="J101" s="57"/>
      <c r="K101" s="58"/>
    </row>
    <row r="102" spans="1:11" ht="15" customHeight="1" x14ac:dyDescent="0.25">
      <c r="A102" s="74"/>
      <c r="B102" s="62"/>
      <c r="C102" s="63"/>
      <c r="D102" s="62"/>
      <c r="E102" s="62"/>
      <c r="F102" s="64"/>
      <c r="G102" s="62"/>
      <c r="H102" s="63"/>
      <c r="I102" s="100" t="str">
        <f t="shared" ref="I102:I133" si="3">IF(F102="","",IF(I101="",F102,I101+F102))</f>
        <v/>
      </c>
      <c r="J102" s="62"/>
      <c r="K102" s="63"/>
    </row>
    <row r="103" spans="1:11" ht="15" customHeight="1" x14ac:dyDescent="0.25">
      <c r="A103" s="72"/>
      <c r="B103" s="57"/>
      <c r="C103" s="58"/>
      <c r="D103" s="57"/>
      <c r="E103" s="57"/>
      <c r="F103" s="59"/>
      <c r="G103" s="57"/>
      <c r="H103" s="58"/>
      <c r="I103" s="99" t="str">
        <f t="shared" si="3"/>
        <v/>
      </c>
      <c r="J103" s="57"/>
      <c r="K103" s="58"/>
    </row>
    <row r="104" spans="1:11" ht="15" customHeight="1" x14ac:dyDescent="0.25">
      <c r="A104" s="74"/>
      <c r="B104" s="62"/>
      <c r="C104" s="63"/>
      <c r="D104" s="62"/>
      <c r="E104" s="62"/>
      <c r="F104" s="64"/>
      <c r="G104" s="62"/>
      <c r="H104" s="63"/>
      <c r="I104" s="100" t="str">
        <f t="shared" si="3"/>
        <v/>
      </c>
      <c r="J104" s="62"/>
      <c r="K104" s="63"/>
    </row>
    <row r="105" spans="1:11" ht="15" customHeight="1" x14ac:dyDescent="0.25">
      <c r="A105" s="72"/>
      <c r="B105" s="57"/>
      <c r="C105" s="58"/>
      <c r="D105" s="57"/>
      <c r="E105" s="57"/>
      <c r="F105" s="59"/>
      <c r="G105" s="57"/>
      <c r="H105" s="58"/>
      <c r="I105" s="99" t="str">
        <f t="shared" si="3"/>
        <v/>
      </c>
      <c r="J105" s="57"/>
      <c r="K105" s="58"/>
    </row>
    <row r="106" spans="1:11" ht="15" customHeight="1" x14ac:dyDescent="0.25">
      <c r="A106" s="74"/>
      <c r="B106" s="62"/>
      <c r="C106" s="63"/>
      <c r="D106" s="62"/>
      <c r="E106" s="62"/>
      <c r="F106" s="64"/>
      <c r="G106" s="62"/>
      <c r="H106" s="63"/>
      <c r="I106" s="100" t="str">
        <f t="shared" si="3"/>
        <v/>
      </c>
      <c r="J106" s="62"/>
      <c r="K106" s="63"/>
    </row>
    <row r="107" spans="1:11" ht="15" customHeight="1" x14ac:dyDescent="0.25">
      <c r="A107" s="72"/>
      <c r="B107" s="57"/>
      <c r="C107" s="58"/>
      <c r="D107" s="57"/>
      <c r="E107" s="57"/>
      <c r="F107" s="59"/>
      <c r="G107" s="57"/>
      <c r="H107" s="58"/>
      <c r="I107" s="99" t="str">
        <f t="shared" si="3"/>
        <v/>
      </c>
      <c r="J107" s="57"/>
      <c r="K107" s="58"/>
    </row>
    <row r="108" spans="1:11" ht="15" customHeight="1" x14ac:dyDescent="0.25">
      <c r="A108" s="74"/>
      <c r="B108" s="62"/>
      <c r="C108" s="63"/>
      <c r="D108" s="62"/>
      <c r="E108" s="62"/>
      <c r="F108" s="64"/>
      <c r="G108" s="62"/>
      <c r="H108" s="63"/>
      <c r="I108" s="100" t="str">
        <f t="shared" si="3"/>
        <v/>
      </c>
      <c r="J108" s="62"/>
      <c r="K108" s="63"/>
    </row>
    <row r="109" spans="1:11" ht="15" customHeight="1" x14ac:dyDescent="0.25">
      <c r="A109" s="72"/>
      <c r="B109" s="57"/>
      <c r="C109" s="58"/>
      <c r="D109" s="57"/>
      <c r="E109" s="57"/>
      <c r="F109" s="59"/>
      <c r="G109" s="57"/>
      <c r="H109" s="58"/>
      <c r="I109" s="99" t="str">
        <f t="shared" si="3"/>
        <v/>
      </c>
      <c r="J109" s="57"/>
      <c r="K109" s="58"/>
    </row>
    <row r="110" spans="1:11" ht="15" customHeight="1" x14ac:dyDescent="0.25">
      <c r="A110" s="74"/>
      <c r="B110" s="62"/>
      <c r="C110" s="63"/>
      <c r="D110" s="62"/>
      <c r="E110" s="62"/>
      <c r="F110" s="64"/>
      <c r="G110" s="62"/>
      <c r="H110" s="63"/>
      <c r="I110" s="100" t="str">
        <f t="shared" si="3"/>
        <v/>
      </c>
      <c r="J110" s="62"/>
      <c r="K110" s="63"/>
    </row>
    <row r="111" spans="1:11" ht="15" customHeight="1" x14ac:dyDescent="0.25">
      <c r="A111" s="72"/>
      <c r="B111" s="57"/>
      <c r="C111" s="58"/>
      <c r="D111" s="57"/>
      <c r="E111" s="57"/>
      <c r="F111" s="59"/>
      <c r="G111" s="57"/>
      <c r="H111" s="58"/>
      <c r="I111" s="99" t="str">
        <f t="shared" si="3"/>
        <v/>
      </c>
      <c r="J111" s="57"/>
      <c r="K111" s="58"/>
    </row>
    <row r="112" spans="1:11" ht="15" customHeight="1" x14ac:dyDescent="0.25">
      <c r="A112" s="74"/>
      <c r="B112" s="62"/>
      <c r="C112" s="63"/>
      <c r="D112" s="62"/>
      <c r="E112" s="62"/>
      <c r="F112" s="64"/>
      <c r="G112" s="62"/>
      <c r="H112" s="63"/>
      <c r="I112" s="100" t="str">
        <f t="shared" si="3"/>
        <v/>
      </c>
      <c r="J112" s="62"/>
      <c r="K112" s="63"/>
    </row>
    <row r="113" spans="1:11" ht="15" customHeight="1" x14ac:dyDescent="0.25">
      <c r="A113" s="72"/>
      <c r="B113" s="57"/>
      <c r="C113" s="58"/>
      <c r="D113" s="57"/>
      <c r="E113" s="57"/>
      <c r="F113" s="59"/>
      <c r="G113" s="57"/>
      <c r="H113" s="58"/>
      <c r="I113" s="99" t="str">
        <f t="shared" si="3"/>
        <v/>
      </c>
      <c r="J113" s="57"/>
      <c r="K113" s="58"/>
    </row>
    <row r="114" spans="1:11" ht="15" customHeight="1" x14ac:dyDescent="0.25">
      <c r="A114" s="74"/>
      <c r="B114" s="62"/>
      <c r="C114" s="63"/>
      <c r="D114" s="62"/>
      <c r="E114" s="62"/>
      <c r="F114" s="64"/>
      <c r="G114" s="62"/>
      <c r="H114" s="63"/>
      <c r="I114" s="100" t="str">
        <f t="shared" si="3"/>
        <v/>
      </c>
      <c r="J114" s="62"/>
      <c r="K114" s="63"/>
    </row>
    <row r="115" spans="1:11" ht="15" customHeight="1" x14ac:dyDescent="0.25">
      <c r="A115" s="72"/>
      <c r="B115" s="57"/>
      <c r="C115" s="58"/>
      <c r="D115" s="57"/>
      <c r="E115" s="57"/>
      <c r="F115" s="59"/>
      <c r="G115" s="57"/>
      <c r="H115" s="58"/>
      <c r="I115" s="99" t="str">
        <f t="shared" si="3"/>
        <v/>
      </c>
      <c r="J115" s="57"/>
      <c r="K115" s="58"/>
    </row>
    <row r="116" spans="1:11" ht="15" customHeight="1" x14ac:dyDescent="0.25">
      <c r="A116" s="74"/>
      <c r="B116" s="62"/>
      <c r="C116" s="63"/>
      <c r="D116" s="62"/>
      <c r="E116" s="62"/>
      <c r="F116" s="64"/>
      <c r="G116" s="62"/>
      <c r="H116" s="63"/>
      <c r="I116" s="100" t="str">
        <f t="shared" si="3"/>
        <v/>
      </c>
      <c r="J116" s="62"/>
      <c r="K116" s="63"/>
    </row>
    <row r="117" spans="1:11" ht="15" customHeight="1" x14ac:dyDescent="0.25">
      <c r="A117" s="72"/>
      <c r="B117" s="57"/>
      <c r="C117" s="58"/>
      <c r="D117" s="57"/>
      <c r="E117" s="57"/>
      <c r="F117" s="59"/>
      <c r="G117" s="57"/>
      <c r="H117" s="58"/>
      <c r="I117" s="99" t="str">
        <f t="shared" si="3"/>
        <v/>
      </c>
      <c r="J117" s="57"/>
      <c r="K117" s="58"/>
    </row>
    <row r="118" spans="1:11" ht="15" customHeight="1" x14ac:dyDescent="0.25">
      <c r="A118" s="74"/>
      <c r="B118" s="62"/>
      <c r="C118" s="63"/>
      <c r="D118" s="62"/>
      <c r="E118" s="62"/>
      <c r="F118" s="64"/>
      <c r="G118" s="62"/>
      <c r="H118" s="63"/>
      <c r="I118" s="100" t="str">
        <f t="shared" si="3"/>
        <v/>
      </c>
      <c r="J118" s="62"/>
      <c r="K118" s="63"/>
    </row>
    <row r="119" spans="1:11" ht="15" customHeight="1" x14ac:dyDescent="0.25">
      <c r="A119" s="72"/>
      <c r="B119" s="57"/>
      <c r="C119" s="58"/>
      <c r="D119" s="57"/>
      <c r="E119" s="57"/>
      <c r="F119" s="59"/>
      <c r="G119" s="57"/>
      <c r="H119" s="58"/>
      <c r="I119" s="99" t="str">
        <f t="shared" si="3"/>
        <v/>
      </c>
      <c r="J119" s="57"/>
      <c r="K119" s="58"/>
    </row>
    <row r="120" spans="1:11" ht="15" customHeight="1" x14ac:dyDescent="0.25">
      <c r="A120" s="74"/>
      <c r="B120" s="62"/>
      <c r="C120" s="63"/>
      <c r="D120" s="62"/>
      <c r="E120" s="62"/>
      <c r="F120" s="64"/>
      <c r="G120" s="62"/>
      <c r="H120" s="63"/>
      <c r="I120" s="100" t="str">
        <f t="shared" si="3"/>
        <v/>
      </c>
      <c r="J120" s="62"/>
      <c r="K120" s="63"/>
    </row>
    <row r="121" spans="1:11" ht="15" customHeight="1" x14ac:dyDescent="0.25">
      <c r="A121" s="72"/>
      <c r="B121" s="57"/>
      <c r="C121" s="58"/>
      <c r="D121" s="57"/>
      <c r="E121" s="57"/>
      <c r="F121" s="59"/>
      <c r="G121" s="57"/>
      <c r="H121" s="58"/>
      <c r="I121" s="99" t="str">
        <f t="shared" si="3"/>
        <v/>
      </c>
      <c r="J121" s="57"/>
      <c r="K121" s="58"/>
    </row>
    <row r="122" spans="1:11" ht="15" customHeight="1" x14ac:dyDescent="0.25">
      <c r="A122" s="74"/>
      <c r="B122" s="62"/>
      <c r="C122" s="63"/>
      <c r="D122" s="62"/>
      <c r="E122" s="62"/>
      <c r="F122" s="64"/>
      <c r="G122" s="62"/>
      <c r="H122" s="63"/>
      <c r="I122" s="100" t="str">
        <f t="shared" si="3"/>
        <v/>
      </c>
      <c r="J122" s="62"/>
      <c r="K122" s="63"/>
    </row>
    <row r="123" spans="1:11" ht="15" customHeight="1" x14ac:dyDescent="0.25">
      <c r="A123" s="72"/>
      <c r="B123" s="57"/>
      <c r="C123" s="58"/>
      <c r="D123" s="57"/>
      <c r="E123" s="57"/>
      <c r="F123" s="59"/>
      <c r="G123" s="57"/>
      <c r="H123" s="58"/>
      <c r="I123" s="99" t="str">
        <f t="shared" si="3"/>
        <v/>
      </c>
      <c r="J123" s="57"/>
      <c r="K123" s="58"/>
    </row>
    <row r="124" spans="1:11" ht="15" customHeight="1" x14ac:dyDescent="0.25">
      <c r="A124" s="74"/>
      <c r="B124" s="62"/>
      <c r="C124" s="63"/>
      <c r="D124" s="62"/>
      <c r="E124" s="62"/>
      <c r="F124" s="64"/>
      <c r="G124" s="62"/>
      <c r="H124" s="63"/>
      <c r="I124" s="100" t="str">
        <f t="shared" si="3"/>
        <v/>
      </c>
      <c r="J124" s="62"/>
      <c r="K124" s="63"/>
    </row>
    <row r="125" spans="1:11" ht="15" customHeight="1" x14ac:dyDescent="0.25">
      <c r="A125" s="72"/>
      <c r="B125" s="57"/>
      <c r="C125" s="58"/>
      <c r="D125" s="57"/>
      <c r="E125" s="57"/>
      <c r="F125" s="59"/>
      <c r="G125" s="57"/>
      <c r="H125" s="58"/>
      <c r="I125" s="99" t="str">
        <f t="shared" si="3"/>
        <v/>
      </c>
      <c r="J125" s="57"/>
      <c r="K125" s="58"/>
    </row>
    <row r="126" spans="1:11" ht="15" customHeight="1" x14ac:dyDescent="0.25">
      <c r="A126" s="74"/>
      <c r="B126" s="62"/>
      <c r="C126" s="63"/>
      <c r="D126" s="62"/>
      <c r="E126" s="62"/>
      <c r="F126" s="64"/>
      <c r="G126" s="62"/>
      <c r="H126" s="63"/>
      <c r="I126" s="100" t="str">
        <f t="shared" si="3"/>
        <v/>
      </c>
      <c r="J126" s="62"/>
      <c r="K126" s="63"/>
    </row>
    <row r="127" spans="1:11" ht="15" customHeight="1" x14ac:dyDescent="0.25">
      <c r="A127" s="72"/>
      <c r="B127" s="57"/>
      <c r="C127" s="58"/>
      <c r="D127" s="57"/>
      <c r="E127" s="57"/>
      <c r="F127" s="59"/>
      <c r="G127" s="57"/>
      <c r="H127" s="58"/>
      <c r="I127" s="99" t="str">
        <f t="shared" si="3"/>
        <v/>
      </c>
      <c r="J127" s="57"/>
      <c r="K127" s="58"/>
    </row>
    <row r="128" spans="1:11" ht="15" customHeight="1" x14ac:dyDescent="0.25">
      <c r="A128" s="74"/>
      <c r="B128" s="62"/>
      <c r="C128" s="63"/>
      <c r="D128" s="62"/>
      <c r="E128" s="62"/>
      <c r="F128" s="64"/>
      <c r="G128" s="62"/>
      <c r="H128" s="63"/>
      <c r="I128" s="100" t="str">
        <f t="shared" si="3"/>
        <v/>
      </c>
      <c r="J128" s="62"/>
      <c r="K128" s="63"/>
    </row>
    <row r="129" spans="1:11" ht="15" customHeight="1" x14ac:dyDescent="0.25">
      <c r="A129" s="72"/>
      <c r="B129" s="57"/>
      <c r="C129" s="58"/>
      <c r="D129" s="57"/>
      <c r="E129" s="57"/>
      <c r="F129" s="59"/>
      <c r="G129" s="57"/>
      <c r="H129" s="58"/>
      <c r="I129" s="99" t="str">
        <f t="shared" si="3"/>
        <v/>
      </c>
      <c r="J129" s="57"/>
      <c r="K129" s="58"/>
    </row>
    <row r="130" spans="1:11" ht="15" customHeight="1" x14ac:dyDescent="0.25">
      <c r="A130" s="74"/>
      <c r="B130" s="62"/>
      <c r="C130" s="63"/>
      <c r="D130" s="62"/>
      <c r="E130" s="62"/>
      <c r="F130" s="64"/>
      <c r="G130" s="62"/>
      <c r="H130" s="63"/>
      <c r="I130" s="100" t="str">
        <f t="shared" si="3"/>
        <v/>
      </c>
      <c r="J130" s="62"/>
      <c r="K130" s="63"/>
    </row>
    <row r="131" spans="1:11" ht="15" customHeight="1" x14ac:dyDescent="0.25">
      <c r="A131" s="72"/>
      <c r="B131" s="57"/>
      <c r="C131" s="58"/>
      <c r="D131" s="57"/>
      <c r="E131" s="57"/>
      <c r="F131" s="59"/>
      <c r="G131" s="57"/>
      <c r="H131" s="58"/>
      <c r="I131" s="99" t="str">
        <f t="shared" si="3"/>
        <v/>
      </c>
      <c r="J131" s="57"/>
      <c r="K131" s="58"/>
    </row>
    <row r="132" spans="1:11" ht="15" customHeight="1" x14ac:dyDescent="0.25">
      <c r="A132" s="74"/>
      <c r="B132" s="62"/>
      <c r="C132" s="63"/>
      <c r="D132" s="62"/>
      <c r="E132" s="62"/>
      <c r="F132" s="64"/>
      <c r="G132" s="62"/>
      <c r="H132" s="63"/>
      <c r="I132" s="100" t="str">
        <f t="shared" si="3"/>
        <v/>
      </c>
      <c r="J132" s="62"/>
      <c r="K132" s="63"/>
    </row>
    <row r="133" spans="1:11" ht="15" customHeight="1" x14ac:dyDescent="0.25">
      <c r="A133" s="72"/>
      <c r="B133" s="57"/>
      <c r="C133" s="58"/>
      <c r="D133" s="57"/>
      <c r="E133" s="57"/>
      <c r="F133" s="59"/>
      <c r="G133" s="57"/>
      <c r="H133" s="58"/>
      <c r="I133" s="99" t="str">
        <f t="shared" si="3"/>
        <v/>
      </c>
      <c r="J133" s="57"/>
      <c r="K133" s="58"/>
    </row>
    <row r="134" spans="1:11" ht="15" customHeight="1" x14ac:dyDescent="0.25">
      <c r="A134" s="74"/>
      <c r="B134" s="62"/>
      <c r="C134" s="63"/>
      <c r="D134" s="62"/>
      <c r="E134" s="62"/>
      <c r="F134" s="64"/>
      <c r="G134" s="62"/>
      <c r="H134" s="63"/>
      <c r="I134" s="100" t="str">
        <f t="shared" ref="I134:I154" si="4">IF(F134="","",IF(I133="",F134,I133+F134))</f>
        <v/>
      </c>
      <c r="J134" s="62"/>
      <c r="K134" s="63"/>
    </row>
    <row r="135" spans="1:11" ht="15" customHeight="1" x14ac:dyDescent="0.25">
      <c r="A135" s="72"/>
      <c r="B135" s="57"/>
      <c r="C135" s="58"/>
      <c r="D135" s="57"/>
      <c r="E135" s="57"/>
      <c r="F135" s="59"/>
      <c r="G135" s="57"/>
      <c r="H135" s="58"/>
      <c r="I135" s="99" t="str">
        <f t="shared" si="4"/>
        <v/>
      </c>
      <c r="J135" s="57"/>
      <c r="K135" s="58"/>
    </row>
    <row r="136" spans="1:11" ht="15" customHeight="1" x14ac:dyDescent="0.25">
      <c r="A136" s="74"/>
      <c r="B136" s="62"/>
      <c r="C136" s="63"/>
      <c r="D136" s="62"/>
      <c r="E136" s="62"/>
      <c r="F136" s="64"/>
      <c r="G136" s="62"/>
      <c r="H136" s="63"/>
      <c r="I136" s="100" t="str">
        <f t="shared" si="4"/>
        <v/>
      </c>
      <c r="J136" s="62"/>
      <c r="K136" s="63"/>
    </row>
    <row r="137" spans="1:11" ht="15" customHeight="1" x14ac:dyDescent="0.25">
      <c r="A137" s="72"/>
      <c r="B137" s="57"/>
      <c r="C137" s="58"/>
      <c r="D137" s="57"/>
      <c r="E137" s="57"/>
      <c r="F137" s="59"/>
      <c r="G137" s="57"/>
      <c r="H137" s="58"/>
      <c r="I137" s="99" t="str">
        <f t="shared" si="4"/>
        <v/>
      </c>
      <c r="J137" s="57"/>
      <c r="K137" s="58"/>
    </row>
    <row r="138" spans="1:11" ht="15" customHeight="1" x14ac:dyDescent="0.25">
      <c r="A138" s="74"/>
      <c r="B138" s="62"/>
      <c r="C138" s="63"/>
      <c r="D138" s="62"/>
      <c r="E138" s="62"/>
      <c r="F138" s="64"/>
      <c r="G138" s="62"/>
      <c r="H138" s="63"/>
      <c r="I138" s="100" t="str">
        <f t="shared" si="4"/>
        <v/>
      </c>
      <c r="J138" s="62"/>
      <c r="K138" s="63"/>
    </row>
    <row r="139" spans="1:11" ht="15" customHeight="1" x14ac:dyDescent="0.25">
      <c r="A139" s="72"/>
      <c r="B139" s="57"/>
      <c r="C139" s="58"/>
      <c r="D139" s="57"/>
      <c r="E139" s="57"/>
      <c r="F139" s="59"/>
      <c r="G139" s="57"/>
      <c r="H139" s="58"/>
      <c r="I139" s="99" t="str">
        <f t="shared" si="4"/>
        <v/>
      </c>
      <c r="J139" s="57"/>
      <c r="K139" s="58"/>
    </row>
    <row r="140" spans="1:11" ht="15" customHeight="1" x14ac:dyDescent="0.25">
      <c r="A140" s="74"/>
      <c r="B140" s="62"/>
      <c r="C140" s="63"/>
      <c r="D140" s="62"/>
      <c r="E140" s="62"/>
      <c r="F140" s="64"/>
      <c r="G140" s="62"/>
      <c r="H140" s="63"/>
      <c r="I140" s="100" t="str">
        <f t="shared" si="4"/>
        <v/>
      </c>
      <c r="J140" s="62"/>
      <c r="K140" s="63"/>
    </row>
    <row r="141" spans="1:11" ht="15" customHeight="1" x14ac:dyDescent="0.25">
      <c r="A141" s="72"/>
      <c r="B141" s="57"/>
      <c r="C141" s="58"/>
      <c r="D141" s="57"/>
      <c r="E141" s="57"/>
      <c r="F141" s="59"/>
      <c r="G141" s="57"/>
      <c r="H141" s="58"/>
      <c r="I141" s="99" t="str">
        <f t="shared" si="4"/>
        <v/>
      </c>
      <c r="J141" s="57"/>
      <c r="K141" s="58"/>
    </row>
    <row r="142" spans="1:11" ht="15" customHeight="1" x14ac:dyDescent="0.25">
      <c r="A142" s="74"/>
      <c r="B142" s="62"/>
      <c r="C142" s="63"/>
      <c r="D142" s="62"/>
      <c r="E142" s="62"/>
      <c r="F142" s="64"/>
      <c r="G142" s="62"/>
      <c r="H142" s="63"/>
      <c r="I142" s="100" t="str">
        <f t="shared" si="4"/>
        <v/>
      </c>
      <c r="J142" s="62"/>
      <c r="K142" s="63"/>
    </row>
    <row r="143" spans="1:11" ht="15" customHeight="1" x14ac:dyDescent="0.25">
      <c r="A143" s="72"/>
      <c r="B143" s="57"/>
      <c r="C143" s="58"/>
      <c r="D143" s="57"/>
      <c r="E143" s="57"/>
      <c r="F143" s="59"/>
      <c r="G143" s="57"/>
      <c r="H143" s="58"/>
      <c r="I143" s="99" t="str">
        <f t="shared" si="4"/>
        <v/>
      </c>
      <c r="J143" s="57"/>
      <c r="K143" s="58"/>
    </row>
    <row r="144" spans="1:11" ht="15" customHeight="1" x14ac:dyDescent="0.25">
      <c r="A144" s="74"/>
      <c r="B144" s="62"/>
      <c r="C144" s="63"/>
      <c r="D144" s="62"/>
      <c r="E144" s="62"/>
      <c r="F144" s="64"/>
      <c r="G144" s="62"/>
      <c r="H144" s="63"/>
      <c r="I144" s="100" t="str">
        <f t="shared" si="4"/>
        <v/>
      </c>
      <c r="J144" s="62"/>
      <c r="K144" s="63"/>
    </row>
    <row r="145" spans="1:11" ht="15" customHeight="1" x14ac:dyDescent="0.25">
      <c r="A145" s="72"/>
      <c r="B145" s="57"/>
      <c r="C145" s="58"/>
      <c r="D145" s="57"/>
      <c r="E145" s="57"/>
      <c r="F145" s="59"/>
      <c r="G145" s="57"/>
      <c r="H145" s="58"/>
      <c r="I145" s="99" t="str">
        <f t="shared" si="4"/>
        <v/>
      </c>
      <c r="J145" s="57"/>
      <c r="K145" s="58"/>
    </row>
    <row r="146" spans="1:11" ht="15" customHeight="1" x14ac:dyDescent="0.25">
      <c r="A146" s="74"/>
      <c r="B146" s="62"/>
      <c r="C146" s="63"/>
      <c r="D146" s="62"/>
      <c r="E146" s="62"/>
      <c r="F146" s="64"/>
      <c r="G146" s="62"/>
      <c r="H146" s="63"/>
      <c r="I146" s="100" t="str">
        <f t="shared" si="4"/>
        <v/>
      </c>
      <c r="J146" s="62"/>
      <c r="K146" s="63"/>
    </row>
    <row r="147" spans="1:11" ht="15" customHeight="1" x14ac:dyDescent="0.25">
      <c r="A147" s="72"/>
      <c r="B147" s="57"/>
      <c r="C147" s="58"/>
      <c r="D147" s="57"/>
      <c r="E147" s="57"/>
      <c r="F147" s="59"/>
      <c r="G147" s="57"/>
      <c r="H147" s="58"/>
      <c r="I147" s="99" t="str">
        <f t="shared" si="4"/>
        <v/>
      </c>
      <c r="J147" s="57"/>
      <c r="K147" s="58"/>
    </row>
    <row r="148" spans="1:11" ht="15" customHeight="1" x14ac:dyDescent="0.25">
      <c r="A148" s="74"/>
      <c r="B148" s="62"/>
      <c r="C148" s="63"/>
      <c r="D148" s="62"/>
      <c r="E148" s="62"/>
      <c r="F148" s="64"/>
      <c r="G148" s="62"/>
      <c r="H148" s="63"/>
      <c r="I148" s="100" t="str">
        <f t="shared" si="4"/>
        <v/>
      </c>
      <c r="J148" s="62"/>
      <c r="K148" s="63"/>
    </row>
    <row r="149" spans="1:11" ht="15" customHeight="1" x14ac:dyDescent="0.25">
      <c r="A149" s="72"/>
      <c r="B149" s="57"/>
      <c r="C149" s="58"/>
      <c r="D149" s="57"/>
      <c r="E149" s="57"/>
      <c r="F149" s="59"/>
      <c r="G149" s="57"/>
      <c r="H149" s="58"/>
      <c r="I149" s="99" t="str">
        <f t="shared" si="4"/>
        <v/>
      </c>
      <c r="J149" s="57"/>
      <c r="K149" s="58"/>
    </row>
    <row r="150" spans="1:11" ht="15" customHeight="1" x14ac:dyDescent="0.25">
      <c r="A150" s="74"/>
      <c r="B150" s="62"/>
      <c r="C150" s="63"/>
      <c r="D150" s="62"/>
      <c r="E150" s="62"/>
      <c r="F150" s="64"/>
      <c r="G150" s="62"/>
      <c r="H150" s="63"/>
      <c r="I150" s="100" t="str">
        <f t="shared" si="4"/>
        <v/>
      </c>
      <c r="J150" s="62"/>
      <c r="K150" s="63"/>
    </row>
    <row r="151" spans="1:11" ht="15" customHeight="1" x14ac:dyDescent="0.25">
      <c r="A151" s="72"/>
      <c r="B151" s="57"/>
      <c r="C151" s="58"/>
      <c r="D151" s="57"/>
      <c r="E151" s="57"/>
      <c r="F151" s="59"/>
      <c r="G151" s="57"/>
      <c r="H151" s="58"/>
      <c r="I151" s="99" t="str">
        <f t="shared" si="4"/>
        <v/>
      </c>
      <c r="J151" s="57"/>
      <c r="K151" s="58"/>
    </row>
    <row r="152" spans="1:11" ht="15" customHeight="1" x14ac:dyDescent="0.25">
      <c r="A152" s="74"/>
      <c r="B152" s="62"/>
      <c r="C152" s="63"/>
      <c r="D152" s="62"/>
      <c r="E152" s="62"/>
      <c r="F152" s="64"/>
      <c r="G152" s="62"/>
      <c r="H152" s="63"/>
      <c r="I152" s="100" t="str">
        <f t="shared" si="4"/>
        <v/>
      </c>
      <c r="J152" s="62"/>
      <c r="K152" s="63"/>
    </row>
    <row r="153" spans="1:11" ht="15" customHeight="1" x14ac:dyDescent="0.25">
      <c r="A153" s="72"/>
      <c r="B153" s="57"/>
      <c r="C153" s="58"/>
      <c r="D153" s="57"/>
      <c r="E153" s="57"/>
      <c r="F153" s="59"/>
      <c r="G153" s="57"/>
      <c r="H153" s="58"/>
      <c r="I153" s="99" t="str">
        <f t="shared" si="4"/>
        <v/>
      </c>
      <c r="J153" s="57"/>
      <c r="K153" s="58"/>
    </row>
    <row r="154" spans="1:11" ht="15" customHeight="1" x14ac:dyDescent="0.25">
      <c r="A154" s="74"/>
      <c r="B154" s="62"/>
      <c r="C154" s="63"/>
      <c r="D154" s="62"/>
      <c r="E154" s="62"/>
      <c r="F154" s="64"/>
      <c r="G154" s="62"/>
      <c r="H154" s="63"/>
      <c r="I154" s="100" t="str">
        <f t="shared" si="4"/>
        <v/>
      </c>
      <c r="J154" s="62"/>
      <c r="K154" s="63"/>
    </row>
    <row r="157" spans="1:11" ht="25.5" customHeight="1" x14ac:dyDescent="0.25">
      <c r="A157" s="136" t="s">
        <v>186</v>
      </c>
      <c r="B157" s="136"/>
      <c r="C157" s="136"/>
      <c r="D157" s="136"/>
      <c r="E157" s="136"/>
      <c r="F157" s="136"/>
      <c r="G157" s="136"/>
      <c r="H157" s="136"/>
      <c r="I157" s="136"/>
      <c r="J157" s="136"/>
      <c r="K157" s="136"/>
    </row>
    <row r="158" spans="1:11" ht="23.25" customHeight="1" x14ac:dyDescent="0.25">
      <c r="A158" s="13" t="s">
        <v>180</v>
      </c>
      <c r="B158" s="13" t="s">
        <v>187</v>
      </c>
      <c r="C158" s="13" t="s">
        <v>188</v>
      </c>
      <c r="D158" s="13" t="s">
        <v>189</v>
      </c>
      <c r="E158" s="13" t="s">
        <v>190</v>
      </c>
      <c r="F158" s="13" t="s">
        <v>191</v>
      </c>
      <c r="G158" s="13" t="s">
        <v>192</v>
      </c>
      <c r="H158" s="13" t="s">
        <v>193</v>
      </c>
      <c r="I158" s="13" t="s">
        <v>194</v>
      </c>
      <c r="J158" s="13" t="s">
        <v>195</v>
      </c>
      <c r="K158" s="13" t="s">
        <v>36</v>
      </c>
    </row>
    <row r="159" spans="1:11" ht="15" customHeight="1" x14ac:dyDescent="0.25">
      <c r="A159" s="76" t="s">
        <v>196</v>
      </c>
      <c r="B159" s="72">
        <v>46133</v>
      </c>
      <c r="C159" s="77">
        <f>COUNTIF(E5:E154,"Wk 1 (21 Apr)")</f>
        <v>0</v>
      </c>
      <c r="D159" s="78">
        <f>SUMPRODUCT((E5:E154="Wk 1 (21 Apr)")*(G5:G154="Cash")*(F5:F154))</f>
        <v>0</v>
      </c>
      <c r="E159" s="78">
        <f>SUMPRODUCT((E5:E154="Wk 1 (21 Apr)")*((G5:G154="MTN MoMo")+(G5:G154="Vodafone Cash")+(G5:G154="AirtelTigo Money"))*(F5:F154))</f>
        <v>0</v>
      </c>
      <c r="F159" s="78">
        <f>SUMPRODUCT((E5:E154="Wk 1 (21 Apr)")*(G5:G154="Bank Transfer")*(F5:F154))</f>
        <v>0</v>
      </c>
      <c r="G159" s="78">
        <f>SUMPRODUCT((E5:E154="Wk 1 (21 Apr)")*(G5:G154="Cheque")*(F5:F154))</f>
        <v>0</v>
      </c>
      <c r="H159" s="79">
        <f t="shared" ref="H159:H172" si="5">SUM(D159:G159)</f>
        <v>0</v>
      </c>
      <c r="I159" s="60">
        <f>H159</f>
        <v>0</v>
      </c>
      <c r="J159" s="77"/>
      <c r="K159" s="80"/>
    </row>
    <row r="160" spans="1:11" ht="15" customHeight="1" x14ac:dyDescent="0.25">
      <c r="A160" s="81" t="s">
        <v>197</v>
      </c>
      <c r="B160" s="74">
        <v>46140</v>
      </c>
      <c r="C160" s="82">
        <f>COUNTIF(E5:E154,"Wk 2 (28 Apr)")</f>
        <v>2</v>
      </c>
      <c r="D160" s="83">
        <f>SUMPRODUCT((E5:E154="Wk 2 (28 Apr)")*(G5:G154="Cash")*(F5:F154))</f>
        <v>0</v>
      </c>
      <c r="E160" s="83">
        <f>SUMPRODUCT((E5:E154="Wk 2 (28 Apr)")*((G5:G154="MTN MoMo")+(G5:G154="Vodafone Cash")+(G5:G154="AirtelTigo Money"))*(F5:F154))</f>
        <v>1000</v>
      </c>
      <c r="F160" s="83">
        <f>SUMPRODUCT((E5:E154="Wk 2 (28 Apr)")*(G5:G154="Bank Transfer")*(F5:F154))</f>
        <v>2400</v>
      </c>
      <c r="G160" s="83">
        <f>SUMPRODUCT((E5:E154="Wk 2 (28 Apr)")*(G5:G154="Cheque")*(F5:F154))</f>
        <v>0</v>
      </c>
      <c r="H160" s="84">
        <f t="shared" si="5"/>
        <v>3400</v>
      </c>
      <c r="I160" s="65">
        <f t="shared" ref="I160:I172" si="6">I159+H160</f>
        <v>3400</v>
      </c>
      <c r="J160" s="82"/>
      <c r="K160" s="85"/>
    </row>
    <row r="161" spans="1:11" ht="15" customHeight="1" x14ac:dyDescent="0.25">
      <c r="A161" s="76" t="s">
        <v>198</v>
      </c>
      <c r="B161" s="72">
        <v>46147</v>
      </c>
      <c r="C161" s="77">
        <f>COUNTIF(E5:E154,"Wk 3 (05 May)")</f>
        <v>2</v>
      </c>
      <c r="D161" s="78">
        <f>SUMPRODUCT((E5:E154="Wk 3 (05 May)")*(G5:G154="Cash")*(F5:F154))</f>
        <v>2400</v>
      </c>
      <c r="E161" s="78">
        <f>SUMPRODUCT((E5:E154="Wk 3 (05 May)")*((G5:G154="MTN MoMo")+(G5:G154="Vodafone Cash")+(G5:G154="AirtelTigo Money"))*(F5:F154))</f>
        <v>749.5</v>
      </c>
      <c r="F161" s="78">
        <f>SUMPRODUCT((E5:E154="Wk 3 (05 May)")*(G5:G154="Bank Transfer")*(F5:F154))</f>
        <v>0</v>
      </c>
      <c r="G161" s="78">
        <f>SUMPRODUCT((E5:E154="Wk 3 (05 May)")*(G5:G154="Cheque")*(F5:F154))</f>
        <v>0</v>
      </c>
      <c r="H161" s="79">
        <f t="shared" si="5"/>
        <v>3149.5</v>
      </c>
      <c r="I161" s="60">
        <f t="shared" si="6"/>
        <v>6549.5</v>
      </c>
      <c r="J161" s="77"/>
      <c r="K161" s="80"/>
    </row>
    <row r="162" spans="1:11" ht="15" customHeight="1" x14ac:dyDescent="0.25">
      <c r="A162" s="81" t="s">
        <v>199</v>
      </c>
      <c r="B162" s="74">
        <v>46154</v>
      </c>
      <c r="C162" s="82">
        <f>COUNTIF(E5:E154,"Wk 4 (12 May)")</f>
        <v>3</v>
      </c>
      <c r="D162" s="83">
        <f>SUMPRODUCT((E5:E154="Wk 4 (12 May)")*(G5:G154="Cash")*(F5:F154))</f>
        <v>0</v>
      </c>
      <c r="E162" s="83">
        <f>SUMPRODUCT((E5:E154="Wk 4 (12 May)")*((G5:G154="MTN MoMo")+(G5:G154="Vodafone Cash")+(G5:G154="AirtelTigo Money"))*(F5:F154))</f>
        <v>1500</v>
      </c>
      <c r="F162" s="83">
        <f>SUMPRODUCT((E5:E154="Wk 4 (12 May)")*(G5:G154="Bank Transfer")*(F5:F154))</f>
        <v>4560</v>
      </c>
      <c r="G162" s="83">
        <f>SUMPRODUCT((E5:E154="Wk 4 (12 May)")*(G5:G154="Cheque")*(F5:F154))</f>
        <v>0</v>
      </c>
      <c r="H162" s="84">
        <f t="shared" si="5"/>
        <v>6060</v>
      </c>
      <c r="I162" s="65">
        <f t="shared" si="6"/>
        <v>12609.5</v>
      </c>
      <c r="J162" s="82"/>
      <c r="K162" s="85"/>
    </row>
    <row r="163" spans="1:11" ht="15" customHeight="1" x14ac:dyDescent="0.25">
      <c r="A163" s="76" t="s">
        <v>200</v>
      </c>
      <c r="B163" s="72">
        <v>46161</v>
      </c>
      <c r="C163" s="77">
        <f>COUNTIF(E5:E154,"Wk 5 (19 May)")</f>
        <v>0</v>
      </c>
      <c r="D163" s="78">
        <f>SUMPRODUCT((E5:E154="Wk 5 (19 May)")*(G5:G154="Cash")*(F5:F154))</f>
        <v>0</v>
      </c>
      <c r="E163" s="78">
        <f>SUMPRODUCT((E5:E154="Wk 5 (19 May)")*((G5:G154="MTN MoMo")+(G5:G154="Vodafone Cash")+(G5:G154="AirtelTigo Money"))*(F5:F154))</f>
        <v>0</v>
      </c>
      <c r="F163" s="78">
        <f>SUMPRODUCT((E5:E154="Wk 5 (19 May)")*(G5:G154="Bank Transfer")*(F5:F154))</f>
        <v>0</v>
      </c>
      <c r="G163" s="78">
        <f>SUMPRODUCT((E5:E154="Wk 5 (19 May)")*(G5:G154="Cheque")*(F5:F154))</f>
        <v>0</v>
      </c>
      <c r="H163" s="79">
        <f t="shared" si="5"/>
        <v>0</v>
      </c>
      <c r="I163" s="60">
        <f t="shared" si="6"/>
        <v>12609.5</v>
      </c>
      <c r="J163" s="77"/>
      <c r="K163" s="80"/>
    </row>
    <row r="164" spans="1:11" ht="15" customHeight="1" x14ac:dyDescent="0.25">
      <c r="A164" s="81" t="s">
        <v>201</v>
      </c>
      <c r="B164" s="74">
        <v>46168</v>
      </c>
      <c r="C164" s="82">
        <f>COUNTIF(E5:E154,"Wk 6 (26 May)")</f>
        <v>3</v>
      </c>
      <c r="D164" s="83">
        <f>SUMPRODUCT((E5:E154="Wk 6 (26 May)")*(G5:G154="Cash")*(F5:F154))</f>
        <v>0</v>
      </c>
      <c r="E164" s="83">
        <f>SUMPRODUCT((E5:E154="Wk 6 (26 May)")*((G5:G154="MTN MoMo")+(G5:G154="Vodafone Cash")+(G5:G154="AirtelTigo Money"))*(F5:F154))</f>
        <v>5230.5</v>
      </c>
      <c r="F164" s="83">
        <f>SUMPRODUCT((E5:E154="Wk 6 (26 May)")*(G5:G154="Bank Transfer")*(F5:F154))</f>
        <v>1500</v>
      </c>
      <c r="G164" s="83">
        <f>SUMPRODUCT((E5:E154="Wk 6 (26 May)")*(G5:G154="Cheque")*(F5:F154))</f>
        <v>0</v>
      </c>
      <c r="H164" s="84">
        <f t="shared" si="5"/>
        <v>6730.5</v>
      </c>
      <c r="I164" s="65">
        <f t="shared" si="6"/>
        <v>19340</v>
      </c>
      <c r="J164" s="82"/>
      <c r="K164" s="85"/>
    </row>
    <row r="165" spans="1:11" ht="15" customHeight="1" x14ac:dyDescent="0.25">
      <c r="A165" s="76" t="s">
        <v>202</v>
      </c>
      <c r="B165" s="72">
        <v>46175</v>
      </c>
      <c r="C165" s="77">
        <f>COUNTIF(E5:E154,"Wk 7 (02 Jun)")</f>
        <v>0</v>
      </c>
      <c r="D165" s="78">
        <f>SUMPRODUCT((E5:E154="Wk 7 (02 Jun)")*(G5:G154="Cash")*(F5:F154))</f>
        <v>0</v>
      </c>
      <c r="E165" s="78">
        <f>SUMPRODUCT((E5:E154="Wk 7 (02 Jun)")*((G5:G154="MTN MoMo")+(G5:G154="Vodafone Cash")+(G5:G154="AirtelTigo Money"))*(F5:F154))</f>
        <v>0</v>
      </c>
      <c r="F165" s="78">
        <f>SUMPRODUCT((E5:E154="Wk 7 (02 Jun)")*(G5:G154="Bank Transfer")*(F5:F154))</f>
        <v>0</v>
      </c>
      <c r="G165" s="78">
        <f>SUMPRODUCT((E5:E154="Wk 7 (02 Jun)")*(G5:G154="Cheque")*(F5:F154))</f>
        <v>0</v>
      </c>
      <c r="H165" s="79">
        <f t="shared" si="5"/>
        <v>0</v>
      </c>
      <c r="I165" s="60">
        <f t="shared" si="6"/>
        <v>19340</v>
      </c>
      <c r="J165" s="77"/>
      <c r="K165" s="80"/>
    </row>
    <row r="166" spans="1:11" ht="15" customHeight="1" x14ac:dyDescent="0.25">
      <c r="A166" s="81" t="s">
        <v>203</v>
      </c>
      <c r="B166" s="74">
        <v>46182</v>
      </c>
      <c r="C166" s="82">
        <f>COUNTIF(E5:E154,"Wk 8 (09 Jun)")</f>
        <v>1</v>
      </c>
      <c r="D166" s="83">
        <f>SUMPRODUCT((E5:E154="Wk 8 (09 Jun)")*(G5:G154="Cash")*(F5:F154))</f>
        <v>0</v>
      </c>
      <c r="E166" s="83">
        <f>SUMPRODUCT((E5:E154="Wk 8 (09 Jun)")*((G5:G154="MTN MoMo")+(G5:G154="Vodafone Cash")+(G5:G154="AirtelTigo Money"))*(F5:F154))</f>
        <v>2400</v>
      </c>
      <c r="F166" s="83">
        <f>SUMPRODUCT((E5:E154="Wk 8 (09 Jun)")*(G5:G154="Bank Transfer")*(F5:F154))</f>
        <v>0</v>
      </c>
      <c r="G166" s="83">
        <f>SUMPRODUCT((E5:E154="Wk 8 (09 Jun)")*(G5:G154="Cheque")*(F5:F154))</f>
        <v>0</v>
      </c>
      <c r="H166" s="84">
        <f t="shared" si="5"/>
        <v>2400</v>
      </c>
      <c r="I166" s="65">
        <f t="shared" si="6"/>
        <v>21740</v>
      </c>
      <c r="J166" s="82"/>
      <c r="K166" s="85"/>
    </row>
    <row r="167" spans="1:11" ht="15" customHeight="1" x14ac:dyDescent="0.25">
      <c r="A167" s="76" t="s">
        <v>204</v>
      </c>
      <c r="B167" s="72">
        <v>46189</v>
      </c>
      <c r="C167" s="77">
        <f>COUNTIF(E5:E154,"Wk 9 (16 Jun)")</f>
        <v>1</v>
      </c>
      <c r="D167" s="78">
        <f>SUMPRODUCT((E5:E154="Wk 9 (16 Jun)")*(G5:G154="Cash")*(F5:F154))</f>
        <v>0</v>
      </c>
      <c r="E167" s="78">
        <f>SUMPRODUCT((E5:E154="Wk 9 (16 Jun)")*((G5:G154="MTN MoMo")+(G5:G154="Vodafone Cash")+(G5:G154="AirtelTigo Money"))*(F5:F154))</f>
        <v>1500</v>
      </c>
      <c r="F167" s="78">
        <f>SUMPRODUCT((E5:E154="Wk 9 (16 Jun)")*(G5:G154="Bank Transfer")*(F5:F154))</f>
        <v>0</v>
      </c>
      <c r="G167" s="78">
        <f>SUMPRODUCT((E5:E154="Wk 9 (16 Jun)")*(G5:G154="Cheque")*(F5:F154))</f>
        <v>0</v>
      </c>
      <c r="H167" s="79">
        <f t="shared" si="5"/>
        <v>1500</v>
      </c>
      <c r="I167" s="60">
        <f t="shared" si="6"/>
        <v>23240</v>
      </c>
      <c r="J167" s="77"/>
      <c r="K167" s="80"/>
    </row>
    <row r="168" spans="1:11" ht="21.75" customHeight="1" x14ac:dyDescent="0.25">
      <c r="A168" s="81" t="s">
        <v>205</v>
      </c>
      <c r="B168" s="74">
        <v>46196</v>
      </c>
      <c r="C168" s="82">
        <f>COUNTIF(E5:E154,"Wk 10 (23 Jun)")</f>
        <v>0</v>
      </c>
      <c r="D168" s="83">
        <f>SUMPRODUCT((E5:E154="Wk 10 (23 Jun)")*(G5:G154="Cash")*(F5:F154))</f>
        <v>0</v>
      </c>
      <c r="E168" s="83">
        <f>SUMPRODUCT((E5:E154="Wk 10 (23 Jun)")*((G5:G154="MTN MoMo")+(G5:G154="Vodafone Cash")+(G5:G154="AirtelTigo Money"))*(F5:F154))</f>
        <v>0</v>
      </c>
      <c r="F168" s="83">
        <f>SUMPRODUCT((E5:E154="Wk 10 (23 Jun)")*(G5:G154="Bank Transfer")*(F5:F154))</f>
        <v>0</v>
      </c>
      <c r="G168" s="83">
        <f>SUMPRODUCT((E5:E154="Wk 10 (23 Jun)")*(G5:G154="Cheque")*(F5:F154))</f>
        <v>0</v>
      </c>
      <c r="H168" s="84">
        <f t="shared" si="5"/>
        <v>0</v>
      </c>
      <c r="I168" s="65">
        <f t="shared" si="6"/>
        <v>23240</v>
      </c>
      <c r="J168" s="82"/>
      <c r="K168" s="85"/>
    </row>
    <row r="169" spans="1:11" ht="21.75" customHeight="1" x14ac:dyDescent="0.25">
      <c r="A169" s="76" t="s">
        <v>206</v>
      </c>
      <c r="B169" s="72">
        <v>46203</v>
      </c>
      <c r="C169" s="77">
        <f>COUNTIF(E5:E154,"Wk 11 (30 Jun)")</f>
        <v>0</v>
      </c>
      <c r="D169" s="78">
        <f>SUMPRODUCT((E5:E154="Wk 11 (30 Jun)")*(G5:G154="Cash")*(F5:F154))</f>
        <v>0</v>
      </c>
      <c r="E169" s="78">
        <f>SUMPRODUCT((E5:E154="Wk 11 (30 Jun)")*((G5:G154="MTN MoMo")+(G5:G154="Vodafone Cash")+(G5:G154="AirtelTigo Money"))*(F5:F154))</f>
        <v>0</v>
      </c>
      <c r="F169" s="78">
        <f>SUMPRODUCT((E5:E154="Wk 11 (30 Jun)")*(G5:G154="Bank Transfer")*(F5:F154))</f>
        <v>0</v>
      </c>
      <c r="G169" s="78">
        <f>SUMPRODUCT((E5:E154="Wk 11 (30 Jun)")*(G5:G154="Cheque")*(F5:F154))</f>
        <v>0</v>
      </c>
      <c r="H169" s="79">
        <f t="shared" si="5"/>
        <v>0</v>
      </c>
      <c r="I169" s="60">
        <f t="shared" si="6"/>
        <v>23240</v>
      </c>
      <c r="J169" s="77"/>
      <c r="K169" s="80"/>
    </row>
    <row r="170" spans="1:11" ht="18.75" customHeight="1" x14ac:dyDescent="0.25">
      <c r="A170" s="81" t="s">
        <v>207</v>
      </c>
      <c r="B170" s="74">
        <v>46210</v>
      </c>
      <c r="C170" s="82">
        <f>COUNTIF(E5:E154,"Wk 12 (07 Jul)")</f>
        <v>2</v>
      </c>
      <c r="D170" s="83">
        <f>SUMPRODUCT((E5:E154="Wk 12 (07 Jul)")*(G5:G154="Cash")*(F5:F154))</f>
        <v>0</v>
      </c>
      <c r="E170" s="83">
        <f>SUMPRODUCT((E5:E154="Wk 12 (07 Jul)")*((G5:G154="MTN MoMo")+(G5:G154="Vodafone Cash")+(G5:G154="AirtelTigo Money"))*(F5:F154))</f>
        <v>900</v>
      </c>
      <c r="F170" s="83">
        <f>SUMPRODUCT((E5:E154="Wk 12 (07 Jul)")*(G5:G154="Bank Transfer")*(F5:F154))</f>
        <v>900</v>
      </c>
      <c r="G170" s="83">
        <f>SUMPRODUCT((E5:E154="Wk 12 (07 Jul)")*(G5:G154="Cheque")*(F5:F154))</f>
        <v>0</v>
      </c>
      <c r="H170" s="84">
        <f t="shared" si="5"/>
        <v>1800</v>
      </c>
      <c r="I170" s="65">
        <f t="shared" si="6"/>
        <v>25040</v>
      </c>
      <c r="J170" s="86" t="s">
        <v>208</v>
      </c>
      <c r="K170" s="85"/>
    </row>
    <row r="171" spans="1:11" ht="18.75" customHeight="1" x14ac:dyDescent="0.25">
      <c r="A171" s="76" t="s">
        <v>209</v>
      </c>
      <c r="B171" s="72">
        <v>46217</v>
      </c>
      <c r="C171" s="77">
        <f>COUNTIF(E5:E154,"Wk 13 (14 Jul)")</f>
        <v>1</v>
      </c>
      <c r="D171" s="78">
        <f>SUMPRODUCT((E5:E154="Wk 13 (14 Jul)")*(G5:G154="Cash")*(F5:F154))</f>
        <v>0</v>
      </c>
      <c r="E171" s="78">
        <f>SUMPRODUCT((E5:E154="Wk 13 (14 Jul)")*((G5:G154="MTN MoMo")+(G5:G154="Vodafone Cash")+(G5:G154="AirtelTigo Money"))*(F5:F154))</f>
        <v>2400</v>
      </c>
      <c r="F171" s="78">
        <f>SUMPRODUCT((E5:E154="Wk 13 (14 Jul)")*(G5:G154="Bank Transfer")*(F5:F154))</f>
        <v>0</v>
      </c>
      <c r="G171" s="78">
        <f>SUMPRODUCT((E5:E154="Wk 13 (14 Jul)")*(G5:G154="Cheque")*(F5:F154))</f>
        <v>0</v>
      </c>
      <c r="H171" s="79">
        <f t="shared" si="5"/>
        <v>2400</v>
      </c>
      <c r="I171" s="60">
        <f t="shared" si="6"/>
        <v>27440</v>
      </c>
      <c r="J171" s="87" t="s">
        <v>208</v>
      </c>
      <c r="K171" s="80"/>
    </row>
    <row r="172" spans="1:11" ht="18.75" customHeight="1" x14ac:dyDescent="0.25">
      <c r="A172" s="81" t="s">
        <v>210</v>
      </c>
      <c r="B172" s="74">
        <v>46224</v>
      </c>
      <c r="C172" s="82">
        <f>COUNTIF(E5:E154,"Wk 14 (21 Jul)")</f>
        <v>0</v>
      </c>
      <c r="D172" s="83">
        <f>SUMPRODUCT((E5:E154="Wk 14 (21 Jul)")*(G5:G154="Cash")*(F5:F154))</f>
        <v>0</v>
      </c>
      <c r="E172" s="83">
        <f>SUMPRODUCT((E5:E154="Wk 14 (21 Jul)")*((G5:G154="MTN MoMo")+(G5:G154="Vodafone Cash")+(G5:G154="AirtelTigo Money"))*(F5:F154))</f>
        <v>0</v>
      </c>
      <c r="F172" s="83">
        <f>SUMPRODUCT((E5:E154="Wk 14 (21 Jul)")*(G5:G154="Bank Transfer")*(F5:F154))</f>
        <v>0</v>
      </c>
      <c r="G172" s="83">
        <f>SUMPRODUCT((E5:E154="Wk 14 (21 Jul)")*(G5:G154="Cheque")*(F5:F154))</f>
        <v>0</v>
      </c>
      <c r="H172" s="84">
        <f t="shared" si="5"/>
        <v>0</v>
      </c>
      <c r="I172" s="65">
        <f t="shared" si="6"/>
        <v>27440</v>
      </c>
      <c r="J172" s="86" t="s">
        <v>208</v>
      </c>
      <c r="K172" s="85"/>
    </row>
    <row r="173" spans="1:11" ht="15" customHeight="1" x14ac:dyDescent="0.25">
      <c r="A173" s="28" t="s">
        <v>211</v>
      </c>
      <c r="B173" s="28"/>
      <c r="C173" s="88">
        <f t="shared" ref="C173:H173" si="7">SUM(C159:C172)</f>
        <v>15</v>
      </c>
      <c r="D173" s="29">
        <f t="shared" si="7"/>
        <v>2400</v>
      </c>
      <c r="E173" s="29">
        <f t="shared" si="7"/>
        <v>15680</v>
      </c>
      <c r="F173" s="29">
        <f t="shared" si="7"/>
        <v>9360</v>
      </c>
      <c r="G173" s="29">
        <f t="shared" si="7"/>
        <v>0</v>
      </c>
      <c r="H173" s="29">
        <f t="shared" si="7"/>
        <v>27440</v>
      </c>
      <c r="I173" s="28"/>
      <c r="J173" s="28"/>
      <c r="K173" s="28"/>
    </row>
    <row r="176" spans="1:11" ht="15" customHeight="1" x14ac:dyDescent="0.25">
      <c r="A176" s="136" t="s">
        <v>212</v>
      </c>
      <c r="B176" s="136"/>
      <c r="C176" s="136"/>
      <c r="D176" s="136"/>
      <c r="E176" s="136"/>
      <c r="F176" s="136"/>
      <c r="G176" s="136"/>
      <c r="H176" s="136"/>
      <c r="I176" s="136"/>
      <c r="J176" s="136"/>
      <c r="K176" s="136"/>
    </row>
    <row r="177" spans="1:11" ht="23.25" customHeight="1" x14ac:dyDescent="0.25">
      <c r="A177" s="8" t="s">
        <v>213</v>
      </c>
      <c r="B177" s="8" t="s">
        <v>214</v>
      </c>
      <c r="C177" s="8" t="s">
        <v>189</v>
      </c>
      <c r="D177" s="8" t="s">
        <v>190</v>
      </c>
      <c r="E177" s="8" t="s">
        <v>191</v>
      </c>
      <c r="F177" s="8" t="s">
        <v>192</v>
      </c>
      <c r="G177" s="8" t="s">
        <v>215</v>
      </c>
      <c r="H177" s="8" t="s">
        <v>194</v>
      </c>
      <c r="I177" s="8" t="s">
        <v>216</v>
      </c>
      <c r="J177" s="8" t="s">
        <v>217</v>
      </c>
      <c r="K177" s="8" t="s">
        <v>36</v>
      </c>
    </row>
    <row r="178" spans="1:11" ht="15" customHeight="1" x14ac:dyDescent="0.25">
      <c r="A178" s="89" t="s">
        <v>218</v>
      </c>
      <c r="B178" s="90">
        <f>SUMPRODUCT((MONTH(A5:A154)=4)*(A5:A154&lt;&gt;""))</f>
        <v>2</v>
      </c>
      <c r="C178" s="78">
        <f>SUMPRODUCT((MONTH(A5:A154)=4)*(G5:G154="Cash")*(F5:F154))</f>
        <v>0</v>
      </c>
      <c r="D178" s="78">
        <f>SUMPRODUCT((MONTH(A5:A154)=4)*((G5:G154="MTN MoMo")+(G5:G154="Vodafone Cash")+(G5:G154="AirtelTigo Money"))*(F5:F154))</f>
        <v>1000</v>
      </c>
      <c r="E178" s="78">
        <f>SUMPRODUCT((MONTH(A5:A154)=4)*(G5:G154="Bank Transfer")*(F5:F154))</f>
        <v>2400</v>
      </c>
      <c r="F178" s="78">
        <f>SUMPRODUCT((MONTH(A5:A154)=4)*(G5:G154="Cheque")*(F5:F154))</f>
        <v>0</v>
      </c>
      <c r="G178" s="79">
        <f>SUM(C178:F178)</f>
        <v>3400</v>
      </c>
      <c r="H178" s="60">
        <f>G178</f>
        <v>3400</v>
      </c>
      <c r="I178" s="91">
        <v>0.3</v>
      </c>
      <c r="J178" s="78"/>
      <c r="K178" s="92"/>
    </row>
    <row r="179" spans="1:11" ht="15" customHeight="1" x14ac:dyDescent="0.25">
      <c r="A179" s="93" t="s">
        <v>219</v>
      </c>
      <c r="B179" s="94">
        <f>SUMPRODUCT((MONTH(A5:A154)=5)*(A5:A154&lt;&gt;""))</f>
        <v>8</v>
      </c>
      <c r="C179" s="83">
        <f>SUMPRODUCT((MONTH(A5:A154)=5)*(G5:G154="Cash")*(F5:F154))</f>
        <v>2400</v>
      </c>
      <c r="D179" s="83">
        <f>SUMPRODUCT((MONTH(A5:A154)=5)*((G5:G154="MTN MoMo")+(G5:G154="Vodafone Cash")+(G5:G154="AirtelTigo Money"))*(F5:F154))</f>
        <v>7480</v>
      </c>
      <c r="E179" s="83">
        <f>SUMPRODUCT((MONTH(A5:A154)=5)*(G5:G154="Bank Transfer")*(F5:F154))</f>
        <v>6060</v>
      </c>
      <c r="F179" s="83">
        <f>SUMPRODUCT((MONTH(A5:A154)=5)*(G5:G154="Cheque")*(F5:F154))</f>
        <v>0</v>
      </c>
      <c r="G179" s="84">
        <f>SUM(C179:F179)</f>
        <v>15940</v>
      </c>
      <c r="H179" s="65">
        <f>H178+G179</f>
        <v>19340</v>
      </c>
      <c r="I179" s="95">
        <v>0.65</v>
      </c>
      <c r="J179" s="83"/>
      <c r="K179" s="96"/>
    </row>
    <row r="180" spans="1:11" ht="15" customHeight="1" x14ac:dyDescent="0.25">
      <c r="A180" s="89" t="s">
        <v>220</v>
      </c>
      <c r="B180" s="90">
        <f>SUMPRODUCT((MONTH(A5:A154)=6)*(A5:A154&lt;&gt;""))</f>
        <v>2</v>
      </c>
      <c r="C180" s="78">
        <f>SUMPRODUCT((MONTH(A5:A154)=6)*(G5:G154="Cash")*(F5:F154))</f>
        <v>0</v>
      </c>
      <c r="D180" s="78">
        <f>SUMPRODUCT((MONTH(A5:A154)=6)*((G5:G154="MTN MoMo")+(G5:G154="Vodafone Cash")+(G5:G154="AirtelTigo Money"))*(F5:F154))</f>
        <v>3900</v>
      </c>
      <c r="E180" s="78">
        <f>SUMPRODUCT((MONTH(A5:A154)=6)*(G5:G154="Bank Transfer")*(F5:F154))</f>
        <v>0</v>
      </c>
      <c r="F180" s="78">
        <f>SUMPRODUCT((MONTH(A5:A154)=6)*(G5:G154="Cheque")*(F5:F154))</f>
        <v>0</v>
      </c>
      <c r="G180" s="79">
        <f>SUM(C180:F180)</f>
        <v>3900</v>
      </c>
      <c r="H180" s="60">
        <f>H179+G180</f>
        <v>23240</v>
      </c>
      <c r="I180" s="91">
        <v>1</v>
      </c>
      <c r="J180" s="78"/>
      <c r="K180" s="92"/>
    </row>
    <row r="181" spans="1:11" ht="15" customHeight="1" x14ac:dyDescent="0.25">
      <c r="A181" s="93" t="s">
        <v>221</v>
      </c>
      <c r="B181" s="94">
        <f>SUMPRODUCT((MONTH(A5:A154)=7)*(A5:A154&lt;&gt;""))</f>
        <v>1</v>
      </c>
      <c r="C181" s="83">
        <f>SUMPRODUCT((MONTH(A5:A154)=7)*(G5:G154="Cash")*(F5:F154))</f>
        <v>0</v>
      </c>
      <c r="D181" s="83">
        <f>SUMPRODUCT((MONTH(A5:A154)=7)*((G5:G154="MTN MoMo")+(G5:G154="Vodafone Cash")+(G5:G154="AirtelTigo Money"))*(F5:F154))</f>
        <v>2400</v>
      </c>
      <c r="E181" s="83">
        <f>SUMPRODUCT((MONTH(A5:A154)=7)*(G5:G154="Bank Transfer")*(F5:F154))</f>
        <v>0</v>
      </c>
      <c r="F181" s="83">
        <f>SUMPRODUCT((MONTH(A5:A154)=7)*(G5:G154="Cheque")*(F5:F154))</f>
        <v>0</v>
      </c>
      <c r="G181" s="84">
        <f>SUM(C181:F181)</f>
        <v>2400</v>
      </c>
      <c r="H181" s="65">
        <f>H180+G181</f>
        <v>25640</v>
      </c>
      <c r="I181" s="95">
        <v>1</v>
      </c>
      <c r="J181" s="83"/>
      <c r="K181" s="96"/>
    </row>
    <row r="182" spans="1:11" ht="15" customHeight="1" x14ac:dyDescent="0.25">
      <c r="A182" s="28" t="s">
        <v>222</v>
      </c>
      <c r="B182" s="88">
        <f t="shared" ref="B182:G182" si="8">SUM(B178:B181)</f>
        <v>13</v>
      </c>
      <c r="C182" s="29">
        <f t="shared" si="8"/>
        <v>2400</v>
      </c>
      <c r="D182" s="29">
        <f t="shared" si="8"/>
        <v>14780</v>
      </c>
      <c r="E182" s="29">
        <f t="shared" si="8"/>
        <v>8460</v>
      </c>
      <c r="F182" s="29">
        <f t="shared" si="8"/>
        <v>0</v>
      </c>
      <c r="G182" s="29">
        <f t="shared" si="8"/>
        <v>25640</v>
      </c>
      <c r="H182" s="28"/>
      <c r="I182" s="28"/>
      <c r="J182" s="28"/>
      <c r="K182" s="28"/>
    </row>
  </sheetData>
  <mergeCells count="7">
    <mergeCell ref="A157:K157"/>
    <mergeCell ref="A176:K176"/>
    <mergeCell ref="A1:K1"/>
    <mergeCell ref="A2:K2"/>
    <mergeCell ref="A3:F3"/>
    <mergeCell ref="G3:I3"/>
    <mergeCell ref="J3:K3"/>
  </mergeCells>
  <dataValidations count="6">
    <dataValidation type="list" allowBlank="1" showInputMessage="1" promptTitle="Pupil Name" prompt="Select the pupil making the payment" sqref="C5:C154" xr:uid="{00000000-0002-0000-0700-000000000000}">
      <formula1>$P$1:$P$12</formula1>
      <formula2>0</formula2>
    </dataValidation>
    <dataValidation type="list" allowBlank="1" showInputMessage="1" promptTitle="Week" prompt="Select the week of payment" sqref="E5:E154" xr:uid="{00000000-0002-0000-0700-000001000000}">
      <formula1>"Wk 1 (21 Apr),Wk 2 (28 Apr),Wk 3 (05 May),Wk 4 (12 May),Wk 5 (19 May),Wk 6 (26 May),Wk 7 (02 Jun),Wk 8 (09 Jun),Wk 9 (16 Jun),Wk 10 (23 Jun),Wk 11 (30 Jun),Wk 12 (07 Jul),Wk 13 (14 Jul),Wk 14 (21 Jul)"</formula1>
      <formula2>0</formula2>
    </dataValidation>
    <dataValidation type="list" allowBlank="1" sqref="G5:G154" xr:uid="{00000000-0002-0000-0700-000002000000}">
      <formula1>"Cash,MTN MoMo,Vodafone Cash,AirtelTigo Money,Bank Transfer,Cheque"</formula1>
      <formula2>0</formula2>
    </dataValidation>
    <dataValidation type="list" allowBlank="1" sqref="D5:D154" xr:uid="{00000000-0002-0000-0700-000003000000}">
      <formula1>"Term 3,Term 2 Arrears,Term 1 Arrears"</formula1>
      <formula2>0</formula2>
    </dataValidation>
    <dataValidation type="list" allowBlank="1" sqref="J5:J154" xr:uid="{00000000-0002-0000-0700-000004000000}">
      <formula1>"Yes,No,Pending"</formula1>
      <formula2>0</formula2>
    </dataValidation>
    <dataValidation type="list" allowBlank="1" sqref="H5:H154" xr:uid="{00000000-0002-0000-0700-000005000000}">
      <formula1>"Dorcas Matilda Akosua Kusi,Hannah Ayorkor Laryea,Other"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272"/>
  </sheetPr>
  <dimension ref="A1:Q22"/>
  <sheetViews>
    <sheetView zoomScaleNormal="100" workbookViewId="0">
      <pane xSplit="2" ySplit="4" topLeftCell="I5" activePane="bottomRight" state="frozen"/>
      <selection pane="topRight" activeCell="C1" sqref="C1"/>
      <selection pane="bottomLeft" activeCell="A5" sqref="A5"/>
      <selection pane="bottomRight" activeCell="A8" sqref="A8:XFD8"/>
    </sheetView>
  </sheetViews>
  <sheetFormatPr defaultColWidth="8.7109375" defaultRowHeight="15" x14ac:dyDescent="0.25"/>
  <cols>
    <col min="1" max="1" width="5" customWidth="1"/>
    <col min="2" max="2" width="43.28515625" customWidth="1"/>
    <col min="3" max="3" width="14" customWidth="1"/>
    <col min="4" max="16" width="13" customWidth="1"/>
    <col min="17" max="17" width="45" customWidth="1"/>
  </cols>
  <sheetData>
    <row r="1" spans="1:17" ht="25.5" customHeight="1" x14ac:dyDescent="0.25">
      <c r="A1" s="138" t="s">
        <v>262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</row>
    <row r="3" spans="1:17" ht="15" customHeight="1" x14ac:dyDescent="0.25">
      <c r="A3" s="120" t="s">
        <v>149</v>
      </c>
      <c r="B3" s="120"/>
      <c r="C3" s="120"/>
      <c r="D3" s="121" t="s">
        <v>150</v>
      </c>
      <c r="E3" s="121"/>
      <c r="F3" s="121"/>
      <c r="G3" s="121"/>
      <c r="H3" s="122" t="s">
        <v>151</v>
      </c>
      <c r="I3" s="122"/>
      <c r="J3" s="122"/>
      <c r="K3" s="122"/>
      <c r="L3" s="122"/>
      <c r="M3" s="123" t="s">
        <v>263</v>
      </c>
      <c r="N3" s="123"/>
      <c r="O3" s="123"/>
      <c r="P3" s="123"/>
      <c r="Q3" s="32" t="s">
        <v>153</v>
      </c>
    </row>
    <row r="4" spans="1:17" ht="27.75" customHeight="1" x14ac:dyDescent="0.25">
      <c r="A4" s="6" t="s">
        <v>87</v>
      </c>
      <c r="B4" s="6" t="s">
        <v>88</v>
      </c>
      <c r="C4" s="6" t="s">
        <v>33</v>
      </c>
      <c r="D4" s="5" t="s">
        <v>154</v>
      </c>
      <c r="E4" s="5" t="s">
        <v>155</v>
      </c>
      <c r="F4" s="5" t="s">
        <v>72</v>
      </c>
      <c r="G4" s="5" t="s">
        <v>73</v>
      </c>
      <c r="H4" s="4" t="s">
        <v>156</v>
      </c>
      <c r="I4" s="4" t="s">
        <v>157</v>
      </c>
      <c r="J4" s="4" t="s">
        <v>76</v>
      </c>
      <c r="K4" s="4" t="s">
        <v>77</v>
      </c>
      <c r="L4" s="4" t="s">
        <v>78</v>
      </c>
      <c r="M4" s="3" t="s">
        <v>80</v>
      </c>
      <c r="N4" s="3" t="s">
        <v>81</v>
      </c>
      <c r="O4" s="3" t="s">
        <v>158</v>
      </c>
      <c r="P4" s="3" t="s">
        <v>159</v>
      </c>
      <c r="Q4" s="32" t="s">
        <v>160</v>
      </c>
    </row>
    <row r="6" spans="1:17" ht="15" customHeight="1" x14ac:dyDescent="0.25">
      <c r="A6" s="62">
        <v>1</v>
      </c>
      <c r="B6" s="63" t="s">
        <v>265</v>
      </c>
      <c r="C6" s="62"/>
      <c r="D6" s="64">
        <v>2550</v>
      </c>
      <c r="E6" s="64"/>
      <c r="F6" s="64">
        <v>1700</v>
      </c>
      <c r="G6" s="64">
        <f>IF(B6="","",IF(D6="",0,D6)+IF(E6="",0,E6)-IF(F6="",0,F6))</f>
        <v>850</v>
      </c>
      <c r="H6" s="64">
        <v>2550</v>
      </c>
      <c r="I6" s="64"/>
      <c r="J6" s="64"/>
      <c r="K6" s="64">
        <v>2550</v>
      </c>
      <c r="L6" s="64">
        <f>IF(B6="","",IF(H6="",0,H6)+IF(I6="",0,I6)-IF(J6="",0,J6)-IF(K6="",0,K6))</f>
        <v>0</v>
      </c>
      <c r="M6" s="64">
        <v>0</v>
      </c>
      <c r="N6" s="64"/>
      <c r="O6" s="64">
        <f>SUMIF('KG 1 - Payments'!C5:C154,B6,'KG 1 - Payments'!F5:F154)</f>
        <v>0</v>
      </c>
      <c r="P6" s="65">
        <f>IF(B6="","",IF(M6="",0,M6)-IF(N6="",0,N6)+IF(L6&lt;0,0,IF(L6="",0,L6))-IF(O6="",0,O6))</f>
        <v>0</v>
      </c>
      <c r="Q6" s="66"/>
    </row>
    <row r="7" spans="1:17" ht="15" customHeight="1" x14ac:dyDescent="0.25">
      <c r="A7" s="62">
        <v>2</v>
      </c>
      <c r="B7" s="63" t="s">
        <v>269</v>
      </c>
      <c r="C7" s="62"/>
      <c r="D7" s="64">
        <v>2550</v>
      </c>
      <c r="E7" s="64"/>
      <c r="F7" s="64">
        <v>1000</v>
      </c>
      <c r="G7" s="64">
        <f>IF(B7="","",IF(D7="",0,D7)+IF(E7="",0,E7)-IF(F7="",0,F7))</f>
        <v>1550</v>
      </c>
      <c r="H7" s="64">
        <v>2550</v>
      </c>
      <c r="I7" s="64"/>
      <c r="J7" s="64"/>
      <c r="K7" s="64">
        <v>2550</v>
      </c>
      <c r="L7" s="64">
        <f>IF(B7="","",IF(H7="",0,H7)+IF(I7="",0,I7)-IF(J7="",0,J7)-IF(K7="",0,K7))</f>
        <v>0</v>
      </c>
      <c r="M7" s="64">
        <v>2550</v>
      </c>
      <c r="N7" s="64"/>
      <c r="O7" s="64">
        <f>SUMIF('KG 1 - Payments'!C5:C154,B7,'KG 1 - Payments'!F5:F154)</f>
        <v>2550</v>
      </c>
      <c r="P7" s="65">
        <f>IF(B7="","",IF(M7="",0,M7)-IF(N7="",0,N7)+IF(L7&lt;0,0,IF(L7="",0,L7))-IF(O7="",0,O7))</f>
        <v>0</v>
      </c>
      <c r="Q7" s="66" t="s">
        <v>270</v>
      </c>
    </row>
    <row r="8" spans="1:17" ht="15" customHeight="1" x14ac:dyDescent="0.25">
      <c r="A8" s="62">
        <v>3</v>
      </c>
      <c r="B8" s="63" t="s">
        <v>121</v>
      </c>
      <c r="C8" s="62"/>
      <c r="D8" s="64">
        <v>2550</v>
      </c>
      <c r="E8" s="64">
        <v>1450</v>
      </c>
      <c r="F8" s="64">
        <v>2550</v>
      </c>
      <c r="G8" s="64">
        <f>IF(B8="","",IF(D8="",0,D8)+IF(E8="",0,E8)-IF(F8="",0,F8))</f>
        <v>1450</v>
      </c>
      <c r="H8" s="64">
        <v>2550</v>
      </c>
      <c r="I8" s="64">
        <v>1550</v>
      </c>
      <c r="J8" s="64"/>
      <c r="K8" s="64">
        <v>3600</v>
      </c>
      <c r="L8" s="64">
        <f>IF(B8="","",IF(H8="",0,H8)+IF(I8="",0,I8)-IF(J8="",0,J8)-IF(K8="",0,K8))</f>
        <v>500</v>
      </c>
      <c r="M8" s="64">
        <v>2550</v>
      </c>
      <c r="N8" s="64"/>
      <c r="O8" s="64">
        <f>SUMIF('KG 1 - Payments'!C5:C154,B8,'KG 1 - Payments'!F5:F154)</f>
        <v>2550</v>
      </c>
      <c r="P8" s="65">
        <f>IF(B8="","",IF(M8="",0,M8)-IF(N8="",0,N8)+IF(L8&lt;0,0,IF(L8="",0,L8))-IF(O8="",0,O8))</f>
        <v>500</v>
      </c>
      <c r="Q8" s="66" t="s">
        <v>274</v>
      </c>
    </row>
    <row r="9" spans="1:17" ht="15" customHeight="1" x14ac:dyDescent="0.25">
      <c r="A9" s="62">
        <v>4</v>
      </c>
      <c r="B9" s="63" t="s">
        <v>276</v>
      </c>
      <c r="C9" s="62" t="s">
        <v>98</v>
      </c>
      <c r="D9" s="64">
        <v>2422.5</v>
      </c>
      <c r="E9" s="64"/>
      <c r="F9" s="64">
        <v>2422.5</v>
      </c>
      <c r="G9" s="64">
        <f>IF(B9="","",IF(D9="",0,D9)+IF(E9="",0,E9)-IF(F9="",0,F9))</f>
        <v>0</v>
      </c>
      <c r="H9" s="64">
        <v>2550</v>
      </c>
      <c r="I9" s="64"/>
      <c r="J9" s="64">
        <v>127.5</v>
      </c>
      <c r="K9" s="64">
        <v>2422.5</v>
      </c>
      <c r="L9" s="64">
        <f>IF(B9="","",IF(H9="",0,H9)+IF(I9="",0,I9)-IF(J9="",0,J9)-IF(K9="",0,K9))</f>
        <v>0</v>
      </c>
      <c r="M9" s="64">
        <v>2550</v>
      </c>
      <c r="N9" s="64">
        <v>127.5</v>
      </c>
      <c r="O9" s="64">
        <f>SUMIF('KG 1 - Payments'!C5:C154,B9,'KG 1 - Payments'!F5:F154)</f>
        <v>2422.5</v>
      </c>
      <c r="P9" s="65">
        <f>IF(B9="","",IF(M9="",0,M9)-IF(N9="",0,N9)+IF(L9&lt;0,0,IF(L9="",0,L9))-IF(O9="",0,O9))</f>
        <v>0</v>
      </c>
      <c r="Q9" s="66"/>
    </row>
    <row r="10" spans="1:17" ht="15" customHeight="1" x14ac:dyDescent="0.25">
      <c r="A10" s="62">
        <v>5</v>
      </c>
      <c r="B10" s="58" t="s">
        <v>277</v>
      </c>
      <c r="C10" s="57"/>
      <c r="D10" s="59">
        <v>2550</v>
      </c>
      <c r="E10" s="59"/>
      <c r="F10" s="59">
        <v>2550</v>
      </c>
      <c r="G10" s="59">
        <f>IF(B10="","",IF(D10="",0,D10)+IF(E10="",0,E10)-IF(F10="",0,F10))</f>
        <v>0</v>
      </c>
      <c r="H10" s="59">
        <v>2550</v>
      </c>
      <c r="I10" s="59"/>
      <c r="J10" s="59"/>
      <c r="K10" s="59">
        <v>2550</v>
      </c>
      <c r="L10" s="59">
        <f>IF(B10="","",IF(H10="",0,H10)+IF(I10="",0,I10)-IF(J10="",0,J10)-IF(K10="",0,K10))</f>
        <v>0</v>
      </c>
      <c r="M10" s="59">
        <v>2550</v>
      </c>
      <c r="N10" s="59"/>
      <c r="O10" s="59">
        <f>SUMIF('KG 1 - Payments'!C5:C154,B10,'KG 1 - Payments'!F5:F154)</f>
        <v>2550</v>
      </c>
      <c r="P10" s="60">
        <f>IF(B10="","",IF(M10="",0,M10)-IF(N10="",0,N10)+IF(L10&lt;0,0,IF(L10="",0,L10))-IF(O10="",0,O10))</f>
        <v>0</v>
      </c>
      <c r="Q10" s="61"/>
    </row>
    <row r="11" spans="1:17" ht="15" customHeight="1" x14ac:dyDescent="0.25">
      <c r="A11" s="62">
        <v>6</v>
      </c>
      <c r="B11" s="63" t="s">
        <v>345</v>
      </c>
      <c r="C11" s="62"/>
      <c r="D11" s="64"/>
      <c r="E11" s="64"/>
      <c r="F11" s="64"/>
      <c r="G11" s="64">
        <f t="shared" ref="G11:G20" si="0">IF(B11="","",0)</f>
        <v>0</v>
      </c>
      <c r="H11" s="64"/>
      <c r="I11" s="64"/>
      <c r="J11" s="64"/>
      <c r="K11" s="64"/>
      <c r="L11" s="64">
        <f t="shared" ref="L11:L20" si="1">IF(B11="","",0)</f>
        <v>0</v>
      </c>
      <c r="M11" s="64">
        <v>2550</v>
      </c>
      <c r="N11" s="64"/>
      <c r="O11" s="64"/>
      <c r="P11" s="64">
        <f t="shared" ref="P11:P20" si="2">IF(B11="","",0)</f>
        <v>0</v>
      </c>
      <c r="Q11" s="66"/>
    </row>
    <row r="12" spans="1:17" ht="15" customHeight="1" x14ac:dyDescent="0.25">
      <c r="A12" s="62">
        <v>7</v>
      </c>
      <c r="B12" s="58"/>
      <c r="C12" s="57"/>
      <c r="D12" s="59"/>
      <c r="E12" s="59"/>
      <c r="F12" s="59"/>
      <c r="G12" s="59" t="str">
        <f t="shared" si="0"/>
        <v/>
      </c>
      <c r="H12" s="59"/>
      <c r="I12" s="59"/>
      <c r="J12" s="59"/>
      <c r="K12" s="59"/>
      <c r="L12" s="59" t="str">
        <f t="shared" si="1"/>
        <v/>
      </c>
      <c r="M12" s="59"/>
      <c r="N12" s="59"/>
      <c r="O12" s="59"/>
      <c r="P12" s="59" t="str">
        <f t="shared" si="2"/>
        <v/>
      </c>
      <c r="Q12" s="61"/>
    </row>
    <row r="13" spans="1:17" ht="15" customHeight="1" x14ac:dyDescent="0.25">
      <c r="A13" s="62">
        <v>8</v>
      </c>
      <c r="B13" s="63"/>
      <c r="C13" s="62"/>
      <c r="D13" s="64"/>
      <c r="E13" s="64"/>
      <c r="F13" s="64"/>
      <c r="G13" s="64" t="str">
        <f t="shared" si="0"/>
        <v/>
      </c>
      <c r="H13" s="64"/>
      <c r="I13" s="64"/>
      <c r="J13" s="64"/>
      <c r="K13" s="64"/>
      <c r="L13" s="64" t="str">
        <f t="shared" si="1"/>
        <v/>
      </c>
      <c r="M13" s="64"/>
      <c r="N13" s="64"/>
      <c r="O13" s="64"/>
      <c r="P13" s="64" t="str">
        <f t="shared" si="2"/>
        <v/>
      </c>
      <c r="Q13" s="66"/>
    </row>
    <row r="14" spans="1:17" ht="15" customHeight="1" x14ac:dyDescent="0.25">
      <c r="A14" s="62">
        <v>9</v>
      </c>
      <c r="B14" s="58"/>
      <c r="C14" s="57"/>
      <c r="D14" s="59"/>
      <c r="E14" s="59"/>
      <c r="F14" s="59"/>
      <c r="G14" s="59" t="str">
        <f t="shared" si="0"/>
        <v/>
      </c>
      <c r="H14" s="59"/>
      <c r="I14" s="59"/>
      <c r="J14" s="59"/>
      <c r="K14" s="59"/>
      <c r="L14" s="59" t="str">
        <f t="shared" si="1"/>
        <v/>
      </c>
      <c r="M14" s="59"/>
      <c r="N14" s="59"/>
      <c r="O14" s="59"/>
      <c r="P14" s="59" t="str">
        <f t="shared" si="2"/>
        <v/>
      </c>
      <c r="Q14" s="61"/>
    </row>
    <row r="15" spans="1:17" ht="15" customHeight="1" x14ac:dyDescent="0.25">
      <c r="A15" s="62">
        <v>10</v>
      </c>
      <c r="B15" s="63"/>
      <c r="C15" s="62"/>
      <c r="D15" s="64"/>
      <c r="E15" s="64"/>
      <c r="F15" s="64"/>
      <c r="G15" s="64" t="str">
        <f t="shared" si="0"/>
        <v/>
      </c>
      <c r="H15" s="64"/>
      <c r="I15" s="64"/>
      <c r="J15" s="64"/>
      <c r="K15" s="64"/>
      <c r="L15" s="64" t="str">
        <f t="shared" si="1"/>
        <v/>
      </c>
      <c r="M15" s="64"/>
      <c r="N15" s="64"/>
      <c r="O15" s="64"/>
      <c r="P15" s="64" t="str">
        <f t="shared" si="2"/>
        <v/>
      </c>
      <c r="Q15" s="66"/>
    </row>
    <row r="16" spans="1:17" ht="15" customHeight="1" x14ac:dyDescent="0.25">
      <c r="A16" s="62">
        <v>11</v>
      </c>
      <c r="B16" s="58"/>
      <c r="C16" s="57"/>
      <c r="D16" s="59"/>
      <c r="E16" s="59"/>
      <c r="F16" s="59"/>
      <c r="G16" s="59" t="str">
        <f t="shared" si="0"/>
        <v/>
      </c>
      <c r="H16" s="59"/>
      <c r="I16" s="59"/>
      <c r="J16" s="59"/>
      <c r="K16" s="59"/>
      <c r="L16" s="59" t="str">
        <f t="shared" si="1"/>
        <v/>
      </c>
      <c r="M16" s="59"/>
      <c r="N16" s="59"/>
      <c r="O16" s="59"/>
      <c r="P16" s="59" t="str">
        <f t="shared" si="2"/>
        <v/>
      </c>
      <c r="Q16" s="61"/>
    </row>
    <row r="17" spans="1:17" ht="15" customHeight="1" x14ac:dyDescent="0.25">
      <c r="A17" s="62">
        <v>12</v>
      </c>
      <c r="B17" s="63"/>
      <c r="C17" s="62"/>
      <c r="D17" s="64"/>
      <c r="E17" s="64"/>
      <c r="F17" s="64"/>
      <c r="G17" s="64" t="str">
        <f t="shared" si="0"/>
        <v/>
      </c>
      <c r="H17" s="64"/>
      <c r="I17" s="64"/>
      <c r="J17" s="64"/>
      <c r="K17" s="64"/>
      <c r="L17" s="64" t="str">
        <f t="shared" si="1"/>
        <v/>
      </c>
      <c r="M17" s="64"/>
      <c r="N17" s="64"/>
      <c r="O17" s="64"/>
      <c r="P17" s="64" t="str">
        <f t="shared" si="2"/>
        <v/>
      </c>
      <c r="Q17" s="66"/>
    </row>
    <row r="18" spans="1:17" ht="15" customHeight="1" x14ac:dyDescent="0.25">
      <c r="A18" s="62">
        <v>13</v>
      </c>
      <c r="B18" s="58"/>
      <c r="C18" s="57"/>
      <c r="D18" s="59"/>
      <c r="E18" s="59"/>
      <c r="F18" s="59"/>
      <c r="G18" s="59" t="str">
        <f t="shared" si="0"/>
        <v/>
      </c>
      <c r="H18" s="59"/>
      <c r="I18" s="59"/>
      <c r="J18" s="59"/>
      <c r="K18" s="59"/>
      <c r="L18" s="59" t="str">
        <f t="shared" si="1"/>
        <v/>
      </c>
      <c r="M18" s="59"/>
      <c r="N18" s="59"/>
      <c r="O18" s="59"/>
      <c r="P18" s="59" t="str">
        <f t="shared" si="2"/>
        <v/>
      </c>
      <c r="Q18" s="61"/>
    </row>
    <row r="19" spans="1:17" ht="15" customHeight="1" x14ac:dyDescent="0.25">
      <c r="A19" s="62">
        <v>14</v>
      </c>
      <c r="B19" s="63"/>
      <c r="C19" s="62"/>
      <c r="D19" s="64"/>
      <c r="E19" s="64"/>
      <c r="F19" s="64"/>
      <c r="G19" s="64" t="str">
        <f t="shared" si="0"/>
        <v/>
      </c>
      <c r="H19" s="64"/>
      <c r="I19" s="64"/>
      <c r="J19" s="64"/>
      <c r="K19" s="64"/>
      <c r="L19" s="64" t="str">
        <f t="shared" si="1"/>
        <v/>
      </c>
      <c r="M19" s="64"/>
      <c r="N19" s="64"/>
      <c r="O19" s="64"/>
      <c r="P19" s="64" t="str">
        <f t="shared" si="2"/>
        <v/>
      </c>
      <c r="Q19" s="66"/>
    </row>
    <row r="20" spans="1:17" ht="15" customHeight="1" x14ac:dyDescent="0.25">
      <c r="A20" s="62">
        <v>15</v>
      </c>
      <c r="B20" s="58"/>
      <c r="C20" s="57"/>
      <c r="D20" s="59"/>
      <c r="E20" s="59"/>
      <c r="F20" s="59"/>
      <c r="G20" s="59" t="str">
        <f t="shared" si="0"/>
        <v/>
      </c>
      <c r="H20" s="59"/>
      <c r="I20" s="59"/>
      <c r="J20" s="59"/>
      <c r="K20" s="59"/>
      <c r="L20" s="59" t="str">
        <f t="shared" si="1"/>
        <v/>
      </c>
      <c r="M20" s="59"/>
      <c r="N20" s="59"/>
      <c r="O20" s="59"/>
      <c r="P20" s="59" t="str">
        <f t="shared" si="2"/>
        <v/>
      </c>
      <c r="Q20" s="61"/>
    </row>
    <row r="21" spans="1:17" ht="15" customHeight="1" x14ac:dyDescent="0.25">
      <c r="A21" s="28"/>
      <c r="B21" s="28" t="s">
        <v>84</v>
      </c>
      <c r="C21" s="28"/>
      <c r="D21" s="29">
        <f t="shared" ref="D21:P21" si="3">SUM(D6:D20)</f>
        <v>12622.5</v>
      </c>
      <c r="E21" s="29">
        <f t="shared" si="3"/>
        <v>1450</v>
      </c>
      <c r="F21" s="29">
        <f t="shared" si="3"/>
        <v>10222.5</v>
      </c>
      <c r="G21" s="29">
        <f t="shared" si="3"/>
        <v>3850</v>
      </c>
      <c r="H21" s="29">
        <f t="shared" si="3"/>
        <v>12750</v>
      </c>
      <c r="I21" s="29">
        <f t="shared" si="3"/>
        <v>1550</v>
      </c>
      <c r="J21" s="29">
        <f t="shared" si="3"/>
        <v>127.5</v>
      </c>
      <c r="K21" s="29">
        <f t="shared" si="3"/>
        <v>13672.5</v>
      </c>
      <c r="L21" s="29">
        <f t="shared" si="3"/>
        <v>500</v>
      </c>
      <c r="M21" s="29">
        <f t="shared" si="3"/>
        <v>12750</v>
      </c>
      <c r="N21" s="29">
        <f t="shared" si="3"/>
        <v>127.5</v>
      </c>
      <c r="O21" s="29">
        <f t="shared" si="3"/>
        <v>10072.5</v>
      </c>
      <c r="P21" s="29">
        <f t="shared" si="3"/>
        <v>500</v>
      </c>
      <c r="Q21" s="66"/>
    </row>
    <row r="22" spans="1:17" ht="15" customHeight="1" x14ac:dyDescent="0.25">
      <c r="B22" s="67" t="s">
        <v>169</v>
      </c>
      <c r="F22" s="68" t="s">
        <v>170</v>
      </c>
      <c r="G22" s="69">
        <f>IF(D21+E21=0,1,F21/(D21+E21))</f>
        <v>0.72641677029667795</v>
      </c>
      <c r="K22" s="68" t="s">
        <v>171</v>
      </c>
      <c r="L22" s="70">
        <f>IF(H21+I21-J21=0,1,K21/(H21+I21-J21))</f>
        <v>0.96472040924325275</v>
      </c>
      <c r="O22" s="71">
        <f>SUMIF('KG 1 - Payments'!C5:C154,B22,'KG 1 - Payments'!F5:F154)</f>
        <v>0</v>
      </c>
      <c r="Q22" s="61"/>
    </row>
  </sheetData>
  <mergeCells count="5">
    <mergeCell ref="A1:O1"/>
    <mergeCell ref="A3:C3"/>
    <mergeCell ref="D3:G3"/>
    <mergeCell ref="H3:L3"/>
    <mergeCell ref="M3:P3"/>
  </mergeCells>
  <dataValidations count="1">
    <dataValidation type="list" allowBlank="1" showInputMessage="1" showErrorMessage="1" errorTitle="Invalid Entry" error="Select from: None, Founding Family, Sibling, Sibling 2nd, Sibling 3rd, Staff Child, or Waiver." promptTitle="Discount Type" prompt="Select discount type or &quot;None&quot; for full-fee pupils." sqref="C6:C20" xr:uid="{00000000-0002-0000-0800-000000000000}">
      <formula1>"None,Founding Family,Sibling,Sibling 2nd,Sibling 3rd,Staff Child,Waiver"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272"/>
  </sheetPr>
  <dimension ref="A1:P182"/>
  <sheetViews>
    <sheetView zoomScaleNormal="100" workbookViewId="0">
      <pane xSplit="2" ySplit="4" topLeftCell="C8" activePane="bottomRight" state="frozen"/>
      <selection pane="topRight" activeCell="C1" sqref="C1"/>
      <selection pane="bottomLeft" activeCell="A5" sqref="A5"/>
      <selection pane="bottomRight" activeCell="A14" sqref="A14"/>
    </sheetView>
  </sheetViews>
  <sheetFormatPr defaultColWidth="8.7109375" defaultRowHeight="15" x14ac:dyDescent="0.25"/>
  <cols>
    <col min="1" max="1" width="12" customWidth="1"/>
    <col min="2" max="2" width="13" customWidth="1"/>
    <col min="3" max="3" width="30" customWidth="1"/>
    <col min="4" max="4" width="8" customWidth="1"/>
    <col min="5" max="5" width="18" customWidth="1"/>
    <col min="6" max="6" width="14" customWidth="1"/>
    <col min="7" max="7" width="20" customWidth="1"/>
    <col min="8" max="8" width="36" customWidth="1"/>
    <col min="9" max="9" width="14" customWidth="1"/>
    <col min="10" max="10" width="10" customWidth="1"/>
    <col min="11" max="11" width="28" customWidth="1"/>
    <col min="16" max="16" width="13" hidden="1" customWidth="1"/>
  </cols>
  <sheetData>
    <row r="1" spans="1:16" ht="25.5" customHeight="1" x14ac:dyDescent="0.25">
      <c r="A1" s="138" t="s">
        <v>278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P1" t="s">
        <v>264</v>
      </c>
    </row>
    <row r="2" spans="1:16" ht="15" customHeight="1" x14ac:dyDescent="0.25">
      <c r="A2" s="131" t="s">
        <v>173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P2" t="s">
        <v>279</v>
      </c>
    </row>
    <row r="3" spans="1:16" ht="15" customHeight="1" x14ac:dyDescent="0.25">
      <c r="A3" s="132" t="s">
        <v>174</v>
      </c>
      <c r="B3" s="132"/>
      <c r="C3" s="132"/>
      <c r="D3" s="132"/>
      <c r="E3" s="132"/>
      <c r="F3" s="132"/>
      <c r="G3" s="139" t="s">
        <v>175</v>
      </c>
      <c r="H3" s="139"/>
      <c r="I3" s="139"/>
      <c r="J3" s="134" t="s">
        <v>176</v>
      </c>
      <c r="K3" s="134"/>
      <c r="P3" t="s">
        <v>266</v>
      </c>
    </row>
    <row r="4" spans="1:16" ht="25.5" customHeight="1" x14ac:dyDescent="0.25">
      <c r="A4" s="2" t="s">
        <v>177</v>
      </c>
      <c r="B4" s="2" t="s">
        <v>178</v>
      </c>
      <c r="C4" s="2" t="s">
        <v>88</v>
      </c>
      <c r="D4" s="2" t="s">
        <v>179</v>
      </c>
      <c r="E4" s="2" t="s">
        <v>180</v>
      </c>
      <c r="F4" s="2" t="s">
        <v>181</v>
      </c>
      <c r="G4" s="14" t="s">
        <v>182</v>
      </c>
      <c r="H4" s="14" t="s">
        <v>183</v>
      </c>
      <c r="I4" s="14" t="s">
        <v>184</v>
      </c>
      <c r="J4" s="8" t="s">
        <v>185</v>
      </c>
      <c r="K4" s="8" t="s">
        <v>36</v>
      </c>
      <c r="P4" t="s">
        <v>116</v>
      </c>
    </row>
    <row r="5" spans="1:16" ht="15" customHeight="1" x14ac:dyDescent="0.25">
      <c r="A5" s="72">
        <v>46134</v>
      </c>
      <c r="B5" s="57">
        <v>1046</v>
      </c>
      <c r="C5" s="58" t="s">
        <v>345</v>
      </c>
      <c r="D5" s="57" t="s">
        <v>342</v>
      </c>
      <c r="E5" s="57" t="s">
        <v>196</v>
      </c>
      <c r="F5" s="59">
        <v>2550</v>
      </c>
      <c r="G5" s="57" t="s">
        <v>352</v>
      </c>
      <c r="H5" s="58" t="s">
        <v>343</v>
      </c>
      <c r="I5" s="101">
        <f>IF(F5="","",F5)</f>
        <v>2550</v>
      </c>
      <c r="J5" s="57"/>
      <c r="K5" s="58"/>
      <c r="P5" t="s">
        <v>129</v>
      </c>
    </row>
    <row r="6" spans="1:16" ht="15" customHeight="1" x14ac:dyDescent="0.25">
      <c r="A6" s="74">
        <v>46141</v>
      </c>
      <c r="B6" s="62">
        <v>1059</v>
      </c>
      <c r="C6" s="63" t="s">
        <v>269</v>
      </c>
      <c r="D6" s="62" t="s">
        <v>342</v>
      </c>
      <c r="E6" s="62" t="s">
        <v>197</v>
      </c>
      <c r="F6" s="64">
        <v>1000</v>
      </c>
      <c r="G6" s="62" t="s">
        <v>189</v>
      </c>
      <c r="H6" s="63" t="s">
        <v>337</v>
      </c>
      <c r="I6" s="102">
        <f t="shared" ref="I6:I37" si="0">IF(F6="","",IF(I5="",F6,I5+F6))</f>
        <v>3550</v>
      </c>
      <c r="J6" s="62"/>
      <c r="K6" s="63"/>
      <c r="P6" t="s">
        <v>269</v>
      </c>
    </row>
    <row r="7" spans="1:16" ht="15" customHeight="1" x14ac:dyDescent="0.25">
      <c r="A7" s="72">
        <v>46162</v>
      </c>
      <c r="B7" s="57">
        <v>1078</v>
      </c>
      <c r="C7" s="58" t="s">
        <v>277</v>
      </c>
      <c r="D7" s="57" t="s">
        <v>342</v>
      </c>
      <c r="E7" s="57" t="s">
        <v>200</v>
      </c>
      <c r="F7" s="59">
        <v>2550</v>
      </c>
      <c r="G7" s="57" t="s">
        <v>191</v>
      </c>
      <c r="H7" s="58" t="s">
        <v>337</v>
      </c>
      <c r="I7" s="101">
        <f t="shared" si="0"/>
        <v>6100</v>
      </c>
      <c r="J7" s="57"/>
      <c r="K7" s="58"/>
      <c r="P7" t="s">
        <v>95</v>
      </c>
    </row>
    <row r="8" spans="1:16" ht="15" customHeight="1" x14ac:dyDescent="0.25">
      <c r="A8" s="74">
        <v>46168</v>
      </c>
      <c r="B8" s="62">
        <v>1091</v>
      </c>
      <c r="C8" s="63" t="s">
        <v>121</v>
      </c>
      <c r="D8" s="62" t="s">
        <v>342</v>
      </c>
      <c r="E8" s="62" t="s">
        <v>201</v>
      </c>
      <c r="F8" s="64">
        <v>1050</v>
      </c>
      <c r="G8" s="62" t="s">
        <v>338</v>
      </c>
      <c r="H8" s="63" t="s">
        <v>337</v>
      </c>
      <c r="I8" s="102">
        <f t="shared" si="0"/>
        <v>7150</v>
      </c>
      <c r="J8" s="62"/>
      <c r="K8" s="63"/>
      <c r="P8" t="s">
        <v>272</v>
      </c>
    </row>
    <row r="9" spans="1:16" ht="15" customHeight="1" x14ac:dyDescent="0.25">
      <c r="A9" s="72">
        <v>46136</v>
      </c>
      <c r="B9" s="57">
        <v>1099</v>
      </c>
      <c r="C9" s="58" t="s">
        <v>276</v>
      </c>
      <c r="D9" s="57" t="s">
        <v>342</v>
      </c>
      <c r="E9" s="57" t="s">
        <v>196</v>
      </c>
      <c r="F9" s="59">
        <v>1000</v>
      </c>
      <c r="G9" s="57" t="s">
        <v>191</v>
      </c>
      <c r="H9" s="58" t="s">
        <v>337</v>
      </c>
      <c r="I9" s="101">
        <f t="shared" si="0"/>
        <v>8150</v>
      </c>
      <c r="J9" s="57"/>
      <c r="K9" s="58"/>
      <c r="P9" t="s">
        <v>273</v>
      </c>
    </row>
    <row r="10" spans="1:16" ht="15" customHeight="1" x14ac:dyDescent="0.25">
      <c r="A10" s="74">
        <v>46167</v>
      </c>
      <c r="B10" s="62">
        <v>1102</v>
      </c>
      <c r="C10" s="63" t="s">
        <v>276</v>
      </c>
      <c r="D10" s="62" t="s">
        <v>342</v>
      </c>
      <c r="E10" s="62" t="s">
        <v>201</v>
      </c>
      <c r="F10" s="64">
        <v>1422.5</v>
      </c>
      <c r="G10" s="62" t="s">
        <v>191</v>
      </c>
      <c r="H10" s="63" t="s">
        <v>337</v>
      </c>
      <c r="I10" s="102">
        <f t="shared" si="0"/>
        <v>9572.5</v>
      </c>
      <c r="J10" s="62"/>
      <c r="K10" s="63"/>
      <c r="P10" t="s">
        <v>121</v>
      </c>
    </row>
    <row r="11" spans="1:16" ht="15" customHeight="1" x14ac:dyDescent="0.25">
      <c r="A11" s="72">
        <v>46183</v>
      </c>
      <c r="B11" s="57">
        <v>1111</v>
      </c>
      <c r="C11" s="58" t="s">
        <v>269</v>
      </c>
      <c r="D11" s="57" t="s">
        <v>342</v>
      </c>
      <c r="E11" s="57" t="s">
        <v>203</v>
      </c>
      <c r="F11" s="59">
        <v>1550</v>
      </c>
      <c r="G11" s="57" t="s">
        <v>189</v>
      </c>
      <c r="H11" s="58" t="s">
        <v>343</v>
      </c>
      <c r="I11" s="101">
        <f t="shared" si="0"/>
        <v>11122.5</v>
      </c>
      <c r="J11" s="57"/>
      <c r="K11" s="58"/>
      <c r="P11" t="s">
        <v>275</v>
      </c>
    </row>
    <row r="12" spans="1:16" ht="15" customHeight="1" x14ac:dyDescent="0.25">
      <c r="A12" s="74">
        <v>46191</v>
      </c>
      <c r="B12" s="62">
        <v>1117</v>
      </c>
      <c r="C12" s="63" t="s">
        <v>121</v>
      </c>
      <c r="D12" s="62" t="s">
        <v>342</v>
      </c>
      <c r="E12" s="62" t="s">
        <v>204</v>
      </c>
      <c r="F12" s="64">
        <v>1000</v>
      </c>
      <c r="G12" s="62" t="s">
        <v>338</v>
      </c>
      <c r="H12" s="63" t="s">
        <v>337</v>
      </c>
      <c r="I12" s="102">
        <f t="shared" si="0"/>
        <v>12122.5</v>
      </c>
      <c r="J12" s="62"/>
      <c r="K12" s="63"/>
      <c r="P12" t="s">
        <v>276</v>
      </c>
    </row>
    <row r="13" spans="1:16" ht="15" customHeight="1" x14ac:dyDescent="0.25">
      <c r="A13" s="72" t="s">
        <v>363</v>
      </c>
      <c r="B13" s="57">
        <v>1136</v>
      </c>
      <c r="C13" s="58" t="s">
        <v>121</v>
      </c>
      <c r="D13" s="57" t="s">
        <v>342</v>
      </c>
      <c r="E13" s="57" t="s">
        <v>209</v>
      </c>
      <c r="F13" s="59">
        <v>500</v>
      </c>
      <c r="G13" s="57" t="s">
        <v>338</v>
      </c>
      <c r="H13" s="58" t="s">
        <v>337</v>
      </c>
      <c r="I13" s="101">
        <f t="shared" si="0"/>
        <v>12622.5</v>
      </c>
      <c r="J13" s="57"/>
      <c r="K13" s="58"/>
      <c r="P13" t="s">
        <v>277</v>
      </c>
    </row>
    <row r="14" spans="1:16" ht="15" customHeight="1" x14ac:dyDescent="0.25">
      <c r="A14" s="74"/>
      <c r="B14" s="62"/>
      <c r="C14" s="63"/>
      <c r="D14" s="62"/>
      <c r="E14" s="62"/>
      <c r="F14" s="64"/>
      <c r="G14" s="62"/>
      <c r="H14" s="63"/>
      <c r="I14" s="102" t="str">
        <f t="shared" si="0"/>
        <v/>
      </c>
      <c r="J14" s="62"/>
      <c r="K14" s="63"/>
    </row>
    <row r="15" spans="1:16" ht="15" customHeight="1" x14ac:dyDescent="0.25">
      <c r="A15" s="72"/>
      <c r="B15" s="57"/>
      <c r="C15" s="58"/>
      <c r="D15" s="57"/>
      <c r="E15" s="57"/>
      <c r="F15" s="59"/>
      <c r="G15" s="57"/>
      <c r="H15" s="58"/>
      <c r="I15" s="101" t="str">
        <f t="shared" si="0"/>
        <v/>
      </c>
      <c r="J15" s="57"/>
      <c r="K15" s="58"/>
    </row>
    <row r="16" spans="1:16" ht="15" customHeight="1" x14ac:dyDescent="0.25">
      <c r="A16" s="74"/>
      <c r="B16" s="62"/>
      <c r="C16" s="63"/>
      <c r="D16" s="62"/>
      <c r="E16" s="62"/>
      <c r="F16" s="64"/>
      <c r="G16" s="62"/>
      <c r="H16" s="63"/>
      <c r="I16" s="102" t="str">
        <f t="shared" si="0"/>
        <v/>
      </c>
      <c r="J16" s="62"/>
      <c r="K16" s="63"/>
    </row>
    <row r="17" spans="1:11" ht="15" customHeight="1" x14ac:dyDescent="0.25">
      <c r="A17" s="72"/>
      <c r="B17" s="57"/>
      <c r="C17" s="58"/>
      <c r="D17" s="57"/>
      <c r="E17" s="57"/>
      <c r="F17" s="59"/>
      <c r="G17" s="57"/>
      <c r="H17" s="58"/>
      <c r="I17" s="101" t="str">
        <f t="shared" si="0"/>
        <v/>
      </c>
      <c r="J17" s="57"/>
      <c r="K17" s="58"/>
    </row>
    <row r="18" spans="1:11" ht="15" customHeight="1" x14ac:dyDescent="0.25">
      <c r="A18" s="74"/>
      <c r="B18" s="62"/>
      <c r="C18" s="63"/>
      <c r="D18" s="62"/>
      <c r="E18" s="62"/>
      <c r="F18" s="64"/>
      <c r="G18" s="62"/>
      <c r="H18" s="63"/>
      <c r="I18" s="102" t="str">
        <f t="shared" si="0"/>
        <v/>
      </c>
      <c r="J18" s="62"/>
      <c r="K18" s="63"/>
    </row>
    <row r="19" spans="1:11" ht="15" customHeight="1" x14ac:dyDescent="0.25">
      <c r="A19" s="72"/>
      <c r="B19" s="57"/>
      <c r="C19" s="58"/>
      <c r="D19" s="57"/>
      <c r="E19" s="57"/>
      <c r="F19" s="59"/>
      <c r="G19" s="57"/>
      <c r="H19" s="58"/>
      <c r="I19" s="101" t="str">
        <f t="shared" si="0"/>
        <v/>
      </c>
      <c r="J19" s="57"/>
      <c r="K19" s="58"/>
    </row>
    <row r="20" spans="1:11" ht="15" customHeight="1" x14ac:dyDescent="0.25">
      <c r="A20" s="74"/>
      <c r="B20" s="62"/>
      <c r="C20" s="63"/>
      <c r="D20" s="62"/>
      <c r="E20" s="62"/>
      <c r="F20" s="64"/>
      <c r="G20" s="62"/>
      <c r="H20" s="63"/>
      <c r="I20" s="102" t="str">
        <f t="shared" si="0"/>
        <v/>
      </c>
      <c r="J20" s="62"/>
      <c r="K20" s="63"/>
    </row>
    <row r="21" spans="1:11" ht="15" customHeight="1" x14ac:dyDescent="0.25">
      <c r="A21" s="72"/>
      <c r="B21" s="57"/>
      <c r="C21" s="58"/>
      <c r="D21" s="57"/>
      <c r="E21" s="57"/>
      <c r="F21" s="59"/>
      <c r="G21" s="57"/>
      <c r="H21" s="58"/>
      <c r="I21" s="101" t="str">
        <f t="shared" si="0"/>
        <v/>
      </c>
      <c r="J21" s="57"/>
      <c r="K21" s="58"/>
    </row>
    <row r="22" spans="1:11" ht="15" customHeight="1" x14ac:dyDescent="0.25">
      <c r="A22" s="74"/>
      <c r="B22" s="62"/>
      <c r="C22" s="63"/>
      <c r="D22" s="62"/>
      <c r="E22" s="62"/>
      <c r="F22" s="64"/>
      <c r="G22" s="62"/>
      <c r="H22" s="63"/>
      <c r="I22" s="102" t="str">
        <f t="shared" si="0"/>
        <v/>
      </c>
      <c r="J22" s="62"/>
      <c r="K22" s="63"/>
    </row>
    <row r="23" spans="1:11" ht="15" customHeight="1" x14ac:dyDescent="0.25">
      <c r="A23" s="72"/>
      <c r="B23" s="57"/>
      <c r="C23" s="58"/>
      <c r="D23" s="57"/>
      <c r="E23" s="57"/>
      <c r="F23" s="59"/>
      <c r="G23" s="57"/>
      <c r="H23" s="58"/>
      <c r="I23" s="101" t="str">
        <f t="shared" si="0"/>
        <v/>
      </c>
      <c r="J23" s="57"/>
      <c r="K23" s="58"/>
    </row>
    <row r="24" spans="1:11" ht="15" customHeight="1" x14ac:dyDescent="0.25">
      <c r="A24" s="74"/>
      <c r="B24" s="62"/>
      <c r="C24" s="63"/>
      <c r="D24" s="62"/>
      <c r="E24" s="62"/>
      <c r="F24" s="64"/>
      <c r="G24" s="62"/>
      <c r="H24" s="63"/>
      <c r="I24" s="102" t="str">
        <f t="shared" si="0"/>
        <v/>
      </c>
      <c r="J24" s="62"/>
      <c r="K24" s="63"/>
    </row>
    <row r="25" spans="1:11" ht="15" customHeight="1" x14ac:dyDescent="0.25">
      <c r="A25" s="72"/>
      <c r="B25" s="57"/>
      <c r="C25" s="58"/>
      <c r="D25" s="57"/>
      <c r="E25" s="57"/>
      <c r="F25" s="59"/>
      <c r="G25" s="57"/>
      <c r="H25" s="58"/>
      <c r="I25" s="101" t="str">
        <f t="shared" si="0"/>
        <v/>
      </c>
      <c r="J25" s="57"/>
      <c r="K25" s="58"/>
    </row>
    <row r="26" spans="1:11" ht="15" customHeight="1" x14ac:dyDescent="0.25">
      <c r="A26" s="74"/>
      <c r="B26" s="62"/>
      <c r="C26" s="63"/>
      <c r="D26" s="62"/>
      <c r="E26" s="62"/>
      <c r="F26" s="64"/>
      <c r="G26" s="62"/>
      <c r="H26" s="63"/>
      <c r="I26" s="102" t="str">
        <f t="shared" si="0"/>
        <v/>
      </c>
      <c r="J26" s="62"/>
      <c r="K26" s="63"/>
    </row>
    <row r="27" spans="1:11" ht="15" customHeight="1" x14ac:dyDescent="0.25">
      <c r="A27" s="72"/>
      <c r="B27" s="57"/>
      <c r="C27" s="58"/>
      <c r="D27" s="57"/>
      <c r="E27" s="57"/>
      <c r="F27" s="59"/>
      <c r="G27" s="57"/>
      <c r="H27" s="58"/>
      <c r="I27" s="101" t="str">
        <f t="shared" si="0"/>
        <v/>
      </c>
      <c r="J27" s="57"/>
      <c r="K27" s="58"/>
    </row>
    <row r="28" spans="1:11" ht="15" customHeight="1" x14ac:dyDescent="0.25">
      <c r="A28" s="74"/>
      <c r="B28" s="62"/>
      <c r="C28" s="63"/>
      <c r="D28" s="62"/>
      <c r="E28" s="62"/>
      <c r="F28" s="64"/>
      <c r="G28" s="62"/>
      <c r="H28" s="63"/>
      <c r="I28" s="102" t="str">
        <f t="shared" si="0"/>
        <v/>
      </c>
      <c r="J28" s="62"/>
      <c r="K28" s="63"/>
    </row>
    <row r="29" spans="1:11" ht="15" customHeight="1" x14ac:dyDescent="0.25">
      <c r="A29" s="72"/>
      <c r="B29" s="57"/>
      <c r="C29" s="58"/>
      <c r="D29" s="57"/>
      <c r="E29" s="57"/>
      <c r="F29" s="59"/>
      <c r="G29" s="57"/>
      <c r="H29" s="58"/>
      <c r="I29" s="101" t="str">
        <f t="shared" si="0"/>
        <v/>
      </c>
      <c r="J29" s="57"/>
      <c r="K29" s="58"/>
    </row>
    <row r="30" spans="1:11" ht="15" customHeight="1" x14ac:dyDescent="0.25">
      <c r="A30" s="74"/>
      <c r="B30" s="62"/>
      <c r="C30" s="63"/>
      <c r="D30" s="62"/>
      <c r="E30" s="62"/>
      <c r="F30" s="64"/>
      <c r="G30" s="62"/>
      <c r="H30" s="63"/>
      <c r="I30" s="102" t="str">
        <f t="shared" si="0"/>
        <v/>
      </c>
      <c r="J30" s="62"/>
      <c r="K30" s="63"/>
    </row>
    <row r="31" spans="1:11" ht="15" customHeight="1" x14ac:dyDescent="0.25">
      <c r="A31" s="72"/>
      <c r="B31" s="57"/>
      <c r="C31" s="58"/>
      <c r="D31" s="57"/>
      <c r="E31" s="57"/>
      <c r="F31" s="59"/>
      <c r="G31" s="57"/>
      <c r="H31" s="58"/>
      <c r="I31" s="101" t="str">
        <f t="shared" si="0"/>
        <v/>
      </c>
      <c r="J31" s="57"/>
      <c r="K31" s="58"/>
    </row>
    <row r="32" spans="1:11" ht="15" customHeight="1" x14ac:dyDescent="0.25">
      <c r="A32" s="74"/>
      <c r="B32" s="62"/>
      <c r="C32" s="63"/>
      <c r="D32" s="62"/>
      <c r="E32" s="62"/>
      <c r="F32" s="64"/>
      <c r="G32" s="62"/>
      <c r="H32" s="63"/>
      <c r="I32" s="102" t="str">
        <f t="shared" si="0"/>
        <v/>
      </c>
      <c r="J32" s="62"/>
      <c r="K32" s="63"/>
    </row>
    <row r="33" spans="1:11" ht="15" customHeight="1" x14ac:dyDescent="0.25">
      <c r="A33" s="72"/>
      <c r="B33" s="57"/>
      <c r="C33" s="58"/>
      <c r="D33" s="57"/>
      <c r="E33" s="57"/>
      <c r="F33" s="59"/>
      <c r="G33" s="57"/>
      <c r="H33" s="58"/>
      <c r="I33" s="101" t="str">
        <f t="shared" si="0"/>
        <v/>
      </c>
      <c r="J33" s="57"/>
      <c r="K33" s="58"/>
    </row>
    <row r="34" spans="1:11" ht="15" customHeight="1" x14ac:dyDescent="0.25">
      <c r="A34" s="74"/>
      <c r="B34" s="62"/>
      <c r="C34" s="63"/>
      <c r="D34" s="62"/>
      <c r="E34" s="62"/>
      <c r="F34" s="64"/>
      <c r="G34" s="62"/>
      <c r="H34" s="63"/>
      <c r="I34" s="102" t="str">
        <f t="shared" si="0"/>
        <v/>
      </c>
      <c r="J34" s="62"/>
      <c r="K34" s="63"/>
    </row>
    <row r="35" spans="1:11" ht="15" customHeight="1" x14ac:dyDescent="0.25">
      <c r="A35" s="72"/>
      <c r="B35" s="57"/>
      <c r="C35" s="58"/>
      <c r="D35" s="57"/>
      <c r="E35" s="57"/>
      <c r="F35" s="59"/>
      <c r="G35" s="57"/>
      <c r="H35" s="58"/>
      <c r="I35" s="101" t="str">
        <f t="shared" si="0"/>
        <v/>
      </c>
      <c r="J35" s="57"/>
      <c r="K35" s="58"/>
    </row>
    <row r="36" spans="1:11" ht="15" customHeight="1" x14ac:dyDescent="0.25">
      <c r="A36" s="74"/>
      <c r="B36" s="62"/>
      <c r="C36" s="63"/>
      <c r="D36" s="62"/>
      <c r="E36" s="62"/>
      <c r="F36" s="64"/>
      <c r="G36" s="62"/>
      <c r="H36" s="63"/>
      <c r="I36" s="102" t="str">
        <f t="shared" si="0"/>
        <v/>
      </c>
      <c r="J36" s="62"/>
      <c r="K36" s="63"/>
    </row>
    <row r="37" spans="1:11" ht="15" customHeight="1" x14ac:dyDescent="0.25">
      <c r="A37" s="72"/>
      <c r="B37" s="57"/>
      <c r="C37" s="58"/>
      <c r="D37" s="57"/>
      <c r="E37" s="57"/>
      <c r="F37" s="59"/>
      <c r="G37" s="57"/>
      <c r="H37" s="58"/>
      <c r="I37" s="101" t="str">
        <f t="shared" si="0"/>
        <v/>
      </c>
      <c r="J37" s="57"/>
      <c r="K37" s="58"/>
    </row>
    <row r="38" spans="1:11" ht="15" customHeight="1" x14ac:dyDescent="0.25">
      <c r="A38" s="74"/>
      <c r="B38" s="62"/>
      <c r="C38" s="63"/>
      <c r="D38" s="62"/>
      <c r="E38" s="62"/>
      <c r="F38" s="64"/>
      <c r="G38" s="62"/>
      <c r="H38" s="63"/>
      <c r="I38" s="102" t="str">
        <f t="shared" ref="I38:I69" si="1">IF(F38="","",IF(I37="",F38,I37+F38))</f>
        <v/>
      </c>
      <c r="J38" s="62"/>
      <c r="K38" s="63"/>
    </row>
    <row r="39" spans="1:11" ht="15" customHeight="1" x14ac:dyDescent="0.25">
      <c r="A39" s="72"/>
      <c r="B39" s="57"/>
      <c r="C39" s="58"/>
      <c r="D39" s="57"/>
      <c r="E39" s="57"/>
      <c r="F39" s="59"/>
      <c r="G39" s="57"/>
      <c r="H39" s="58"/>
      <c r="I39" s="101" t="str">
        <f t="shared" si="1"/>
        <v/>
      </c>
      <c r="J39" s="57"/>
      <c r="K39" s="58"/>
    </row>
    <row r="40" spans="1:11" ht="15" customHeight="1" x14ac:dyDescent="0.25">
      <c r="A40" s="74"/>
      <c r="B40" s="62"/>
      <c r="C40" s="63"/>
      <c r="D40" s="62"/>
      <c r="E40" s="62"/>
      <c r="F40" s="64"/>
      <c r="G40" s="62"/>
      <c r="H40" s="63"/>
      <c r="I40" s="102" t="str">
        <f t="shared" si="1"/>
        <v/>
      </c>
      <c r="J40" s="62"/>
      <c r="K40" s="63"/>
    </row>
    <row r="41" spans="1:11" ht="15" customHeight="1" x14ac:dyDescent="0.25">
      <c r="A41" s="72"/>
      <c r="B41" s="57"/>
      <c r="C41" s="58"/>
      <c r="D41" s="57"/>
      <c r="E41" s="57"/>
      <c r="F41" s="59"/>
      <c r="G41" s="57"/>
      <c r="H41" s="58"/>
      <c r="I41" s="101" t="str">
        <f t="shared" si="1"/>
        <v/>
      </c>
      <c r="J41" s="57"/>
      <c r="K41" s="58"/>
    </row>
    <row r="42" spans="1:11" ht="15" customHeight="1" x14ac:dyDescent="0.25">
      <c r="A42" s="74"/>
      <c r="B42" s="62"/>
      <c r="C42" s="63"/>
      <c r="D42" s="62"/>
      <c r="E42" s="62"/>
      <c r="F42" s="64"/>
      <c r="G42" s="62"/>
      <c r="H42" s="63"/>
      <c r="I42" s="102" t="str">
        <f t="shared" si="1"/>
        <v/>
      </c>
      <c r="J42" s="62"/>
      <c r="K42" s="63"/>
    </row>
    <row r="43" spans="1:11" ht="15" customHeight="1" x14ac:dyDescent="0.25">
      <c r="A43" s="72"/>
      <c r="B43" s="57"/>
      <c r="C43" s="58"/>
      <c r="D43" s="57"/>
      <c r="E43" s="57"/>
      <c r="F43" s="59"/>
      <c r="G43" s="57"/>
      <c r="H43" s="58"/>
      <c r="I43" s="101" t="str">
        <f t="shared" si="1"/>
        <v/>
      </c>
      <c r="J43" s="57"/>
      <c r="K43" s="58"/>
    </row>
    <row r="44" spans="1:11" ht="15" customHeight="1" x14ac:dyDescent="0.25">
      <c r="A44" s="74"/>
      <c r="B44" s="62"/>
      <c r="C44" s="63"/>
      <c r="D44" s="62"/>
      <c r="E44" s="62"/>
      <c r="F44" s="64"/>
      <c r="G44" s="62"/>
      <c r="H44" s="63"/>
      <c r="I44" s="102" t="str">
        <f t="shared" si="1"/>
        <v/>
      </c>
      <c r="J44" s="62"/>
      <c r="K44" s="63"/>
    </row>
    <row r="45" spans="1:11" ht="15" customHeight="1" x14ac:dyDescent="0.25">
      <c r="A45" s="72"/>
      <c r="B45" s="57"/>
      <c r="C45" s="58"/>
      <c r="D45" s="57"/>
      <c r="E45" s="57"/>
      <c r="F45" s="59"/>
      <c r="G45" s="57"/>
      <c r="H45" s="58"/>
      <c r="I45" s="101" t="str">
        <f t="shared" si="1"/>
        <v/>
      </c>
      <c r="J45" s="57"/>
      <c r="K45" s="58"/>
    </row>
    <row r="46" spans="1:11" ht="15" customHeight="1" x14ac:dyDescent="0.25">
      <c r="A46" s="74"/>
      <c r="B46" s="62"/>
      <c r="C46" s="63"/>
      <c r="D46" s="62"/>
      <c r="E46" s="62"/>
      <c r="F46" s="64"/>
      <c r="G46" s="62"/>
      <c r="H46" s="63"/>
      <c r="I46" s="102" t="str">
        <f t="shared" si="1"/>
        <v/>
      </c>
      <c r="J46" s="62"/>
      <c r="K46" s="63"/>
    </row>
    <row r="47" spans="1:11" ht="15" customHeight="1" x14ac:dyDescent="0.25">
      <c r="A47" s="72"/>
      <c r="B47" s="57"/>
      <c r="C47" s="58"/>
      <c r="D47" s="57"/>
      <c r="E47" s="57"/>
      <c r="F47" s="59"/>
      <c r="G47" s="57"/>
      <c r="H47" s="58"/>
      <c r="I47" s="101" t="str">
        <f t="shared" si="1"/>
        <v/>
      </c>
      <c r="J47" s="57"/>
      <c r="K47" s="58"/>
    </row>
    <row r="48" spans="1:11" ht="15" customHeight="1" x14ac:dyDescent="0.25">
      <c r="A48" s="74"/>
      <c r="B48" s="62"/>
      <c r="C48" s="63"/>
      <c r="D48" s="62"/>
      <c r="E48" s="62"/>
      <c r="F48" s="64"/>
      <c r="G48" s="62"/>
      <c r="H48" s="63"/>
      <c r="I48" s="102" t="str">
        <f t="shared" si="1"/>
        <v/>
      </c>
      <c r="J48" s="62"/>
      <c r="K48" s="63"/>
    </row>
    <row r="49" spans="1:11" ht="15" customHeight="1" x14ac:dyDescent="0.25">
      <c r="A49" s="72"/>
      <c r="B49" s="57"/>
      <c r="C49" s="58"/>
      <c r="D49" s="57"/>
      <c r="E49" s="57"/>
      <c r="F49" s="59"/>
      <c r="G49" s="57"/>
      <c r="H49" s="58"/>
      <c r="I49" s="101" t="str">
        <f t="shared" si="1"/>
        <v/>
      </c>
      <c r="J49" s="57"/>
      <c r="K49" s="58"/>
    </row>
    <row r="50" spans="1:11" ht="15" customHeight="1" x14ac:dyDescent="0.25">
      <c r="A50" s="74"/>
      <c r="B50" s="62"/>
      <c r="C50" s="63"/>
      <c r="D50" s="62"/>
      <c r="E50" s="62"/>
      <c r="F50" s="64"/>
      <c r="G50" s="62"/>
      <c r="H50" s="63"/>
      <c r="I50" s="102" t="str">
        <f t="shared" si="1"/>
        <v/>
      </c>
      <c r="J50" s="62"/>
      <c r="K50" s="63"/>
    </row>
    <row r="51" spans="1:11" ht="15" customHeight="1" x14ac:dyDescent="0.25">
      <c r="A51" s="72"/>
      <c r="B51" s="57"/>
      <c r="C51" s="58"/>
      <c r="D51" s="57"/>
      <c r="E51" s="57"/>
      <c r="F51" s="59"/>
      <c r="G51" s="57"/>
      <c r="H51" s="58"/>
      <c r="I51" s="101" t="str">
        <f t="shared" si="1"/>
        <v/>
      </c>
      <c r="J51" s="57"/>
      <c r="K51" s="58"/>
    </row>
    <row r="52" spans="1:11" ht="15" customHeight="1" x14ac:dyDescent="0.25">
      <c r="A52" s="74"/>
      <c r="B52" s="62"/>
      <c r="C52" s="63"/>
      <c r="D52" s="62"/>
      <c r="E52" s="62"/>
      <c r="F52" s="64"/>
      <c r="G52" s="62"/>
      <c r="H52" s="63"/>
      <c r="I52" s="102" t="str">
        <f t="shared" si="1"/>
        <v/>
      </c>
      <c r="J52" s="62"/>
      <c r="K52" s="63"/>
    </row>
    <row r="53" spans="1:11" ht="15" customHeight="1" x14ac:dyDescent="0.25">
      <c r="A53" s="72"/>
      <c r="B53" s="57"/>
      <c r="C53" s="58"/>
      <c r="D53" s="57"/>
      <c r="E53" s="57"/>
      <c r="F53" s="59"/>
      <c r="G53" s="57"/>
      <c r="H53" s="58"/>
      <c r="I53" s="101" t="str">
        <f t="shared" si="1"/>
        <v/>
      </c>
      <c r="J53" s="57"/>
      <c r="K53" s="58"/>
    </row>
    <row r="54" spans="1:11" ht="15" customHeight="1" x14ac:dyDescent="0.25">
      <c r="A54" s="74"/>
      <c r="B54" s="62"/>
      <c r="C54" s="63"/>
      <c r="D54" s="62"/>
      <c r="E54" s="62"/>
      <c r="F54" s="64"/>
      <c r="G54" s="62"/>
      <c r="H54" s="63"/>
      <c r="I54" s="102" t="str">
        <f t="shared" si="1"/>
        <v/>
      </c>
      <c r="J54" s="62"/>
      <c r="K54" s="63"/>
    </row>
    <row r="55" spans="1:11" ht="15" customHeight="1" x14ac:dyDescent="0.25">
      <c r="A55" s="72"/>
      <c r="B55" s="57"/>
      <c r="C55" s="58"/>
      <c r="D55" s="57"/>
      <c r="E55" s="57"/>
      <c r="F55" s="59"/>
      <c r="G55" s="57"/>
      <c r="H55" s="58"/>
      <c r="I55" s="101" t="str">
        <f t="shared" si="1"/>
        <v/>
      </c>
      <c r="J55" s="57"/>
      <c r="K55" s="58"/>
    </row>
    <row r="56" spans="1:11" ht="15" customHeight="1" x14ac:dyDescent="0.25">
      <c r="A56" s="74"/>
      <c r="B56" s="62"/>
      <c r="C56" s="63"/>
      <c r="D56" s="62"/>
      <c r="E56" s="62"/>
      <c r="F56" s="64"/>
      <c r="G56" s="62"/>
      <c r="H56" s="63"/>
      <c r="I56" s="102" t="str">
        <f t="shared" si="1"/>
        <v/>
      </c>
      <c r="J56" s="62"/>
      <c r="K56" s="63"/>
    </row>
    <row r="57" spans="1:11" ht="15" customHeight="1" x14ac:dyDescent="0.25">
      <c r="A57" s="72"/>
      <c r="B57" s="57"/>
      <c r="C57" s="58"/>
      <c r="D57" s="57"/>
      <c r="E57" s="57"/>
      <c r="F57" s="59"/>
      <c r="G57" s="57"/>
      <c r="H57" s="58"/>
      <c r="I57" s="101" t="str">
        <f t="shared" si="1"/>
        <v/>
      </c>
      <c r="J57" s="57"/>
      <c r="K57" s="58"/>
    </row>
    <row r="58" spans="1:11" ht="15" customHeight="1" x14ac:dyDescent="0.25">
      <c r="A58" s="74"/>
      <c r="B58" s="62"/>
      <c r="C58" s="63"/>
      <c r="D58" s="62"/>
      <c r="E58" s="62"/>
      <c r="F58" s="64"/>
      <c r="G58" s="62"/>
      <c r="H58" s="63"/>
      <c r="I58" s="102" t="str">
        <f t="shared" si="1"/>
        <v/>
      </c>
      <c r="J58" s="62"/>
      <c r="K58" s="63"/>
    </row>
    <row r="59" spans="1:11" ht="15" customHeight="1" x14ac:dyDescent="0.25">
      <c r="A59" s="72"/>
      <c r="B59" s="57"/>
      <c r="C59" s="58"/>
      <c r="D59" s="57"/>
      <c r="E59" s="57"/>
      <c r="F59" s="59"/>
      <c r="G59" s="57"/>
      <c r="H59" s="58"/>
      <c r="I59" s="101" t="str">
        <f t="shared" si="1"/>
        <v/>
      </c>
      <c r="J59" s="57"/>
      <c r="K59" s="58"/>
    </row>
    <row r="60" spans="1:11" ht="15" customHeight="1" x14ac:dyDescent="0.25">
      <c r="A60" s="74"/>
      <c r="B60" s="62"/>
      <c r="C60" s="63"/>
      <c r="D60" s="62"/>
      <c r="E60" s="62"/>
      <c r="F60" s="64"/>
      <c r="G60" s="62"/>
      <c r="H60" s="63"/>
      <c r="I60" s="102" t="str">
        <f t="shared" si="1"/>
        <v/>
      </c>
      <c r="J60" s="62"/>
      <c r="K60" s="63"/>
    </row>
    <row r="61" spans="1:11" ht="15" customHeight="1" x14ac:dyDescent="0.25">
      <c r="A61" s="72"/>
      <c r="B61" s="57"/>
      <c r="C61" s="58"/>
      <c r="D61" s="57"/>
      <c r="E61" s="57"/>
      <c r="F61" s="59"/>
      <c r="G61" s="57"/>
      <c r="H61" s="58"/>
      <c r="I61" s="101" t="str">
        <f t="shared" si="1"/>
        <v/>
      </c>
      <c r="J61" s="57"/>
      <c r="K61" s="58"/>
    </row>
    <row r="62" spans="1:11" ht="15" customHeight="1" x14ac:dyDescent="0.25">
      <c r="A62" s="74"/>
      <c r="B62" s="62"/>
      <c r="C62" s="63"/>
      <c r="D62" s="62"/>
      <c r="E62" s="62"/>
      <c r="F62" s="64"/>
      <c r="G62" s="62"/>
      <c r="H62" s="63"/>
      <c r="I62" s="102" t="str">
        <f t="shared" si="1"/>
        <v/>
      </c>
      <c r="J62" s="62"/>
      <c r="K62" s="63"/>
    </row>
    <row r="63" spans="1:11" ht="15" customHeight="1" x14ac:dyDescent="0.25">
      <c r="A63" s="72"/>
      <c r="B63" s="57"/>
      <c r="C63" s="58"/>
      <c r="D63" s="57"/>
      <c r="E63" s="57"/>
      <c r="F63" s="59"/>
      <c r="G63" s="57"/>
      <c r="H63" s="58"/>
      <c r="I63" s="101" t="str">
        <f t="shared" si="1"/>
        <v/>
      </c>
      <c r="J63" s="57"/>
      <c r="K63" s="58"/>
    </row>
    <row r="64" spans="1:11" ht="15" customHeight="1" x14ac:dyDescent="0.25">
      <c r="A64" s="74"/>
      <c r="B64" s="62"/>
      <c r="C64" s="63"/>
      <c r="D64" s="62"/>
      <c r="E64" s="62"/>
      <c r="F64" s="64"/>
      <c r="G64" s="62"/>
      <c r="H64" s="63"/>
      <c r="I64" s="102" t="str">
        <f t="shared" si="1"/>
        <v/>
      </c>
      <c r="J64" s="62"/>
      <c r="K64" s="63"/>
    </row>
    <row r="65" spans="1:11" ht="15" customHeight="1" x14ac:dyDescent="0.25">
      <c r="A65" s="72"/>
      <c r="B65" s="57"/>
      <c r="C65" s="58"/>
      <c r="D65" s="57"/>
      <c r="E65" s="57"/>
      <c r="F65" s="59"/>
      <c r="G65" s="57"/>
      <c r="H65" s="58"/>
      <c r="I65" s="101" t="str">
        <f t="shared" si="1"/>
        <v/>
      </c>
      <c r="J65" s="57"/>
      <c r="K65" s="58"/>
    </row>
    <row r="66" spans="1:11" ht="15" customHeight="1" x14ac:dyDescent="0.25">
      <c r="A66" s="74"/>
      <c r="B66" s="62"/>
      <c r="C66" s="63"/>
      <c r="D66" s="62"/>
      <c r="E66" s="62"/>
      <c r="F66" s="64"/>
      <c r="G66" s="62"/>
      <c r="H66" s="63"/>
      <c r="I66" s="102" t="str">
        <f t="shared" si="1"/>
        <v/>
      </c>
      <c r="J66" s="62"/>
      <c r="K66" s="63"/>
    </row>
    <row r="67" spans="1:11" ht="15" customHeight="1" x14ac:dyDescent="0.25">
      <c r="A67" s="72"/>
      <c r="B67" s="57"/>
      <c r="C67" s="58"/>
      <c r="D67" s="57"/>
      <c r="E67" s="57"/>
      <c r="F67" s="59"/>
      <c r="G67" s="57"/>
      <c r="H67" s="58"/>
      <c r="I67" s="101" t="str">
        <f t="shared" si="1"/>
        <v/>
      </c>
      <c r="J67" s="57"/>
      <c r="K67" s="58"/>
    </row>
    <row r="68" spans="1:11" ht="15" customHeight="1" x14ac:dyDescent="0.25">
      <c r="A68" s="74"/>
      <c r="B68" s="62"/>
      <c r="C68" s="63"/>
      <c r="D68" s="62"/>
      <c r="E68" s="62"/>
      <c r="F68" s="64"/>
      <c r="G68" s="62"/>
      <c r="H68" s="63"/>
      <c r="I68" s="102" t="str">
        <f t="shared" si="1"/>
        <v/>
      </c>
      <c r="J68" s="62"/>
      <c r="K68" s="63"/>
    </row>
    <row r="69" spans="1:11" ht="15" customHeight="1" x14ac:dyDescent="0.25">
      <c r="A69" s="72"/>
      <c r="B69" s="57"/>
      <c r="C69" s="58"/>
      <c r="D69" s="57"/>
      <c r="E69" s="57"/>
      <c r="F69" s="59"/>
      <c r="G69" s="57"/>
      <c r="H69" s="58"/>
      <c r="I69" s="101" t="str">
        <f t="shared" si="1"/>
        <v/>
      </c>
      <c r="J69" s="57"/>
      <c r="K69" s="58"/>
    </row>
    <row r="70" spans="1:11" ht="15" customHeight="1" x14ac:dyDescent="0.25">
      <c r="A70" s="74"/>
      <c r="B70" s="62"/>
      <c r="C70" s="63"/>
      <c r="D70" s="62"/>
      <c r="E70" s="62"/>
      <c r="F70" s="64"/>
      <c r="G70" s="62"/>
      <c r="H70" s="63"/>
      <c r="I70" s="102" t="str">
        <f t="shared" ref="I70:I101" si="2">IF(F70="","",IF(I69="",F70,I69+F70))</f>
        <v/>
      </c>
      <c r="J70" s="62"/>
      <c r="K70" s="63"/>
    </row>
    <row r="71" spans="1:11" ht="15" customHeight="1" x14ac:dyDescent="0.25">
      <c r="A71" s="72"/>
      <c r="B71" s="57"/>
      <c r="C71" s="58"/>
      <c r="D71" s="57"/>
      <c r="E71" s="57"/>
      <c r="F71" s="59"/>
      <c r="G71" s="57"/>
      <c r="H71" s="58"/>
      <c r="I71" s="101" t="str">
        <f t="shared" si="2"/>
        <v/>
      </c>
      <c r="J71" s="57"/>
      <c r="K71" s="58"/>
    </row>
    <row r="72" spans="1:11" ht="15" customHeight="1" x14ac:dyDescent="0.25">
      <c r="A72" s="74"/>
      <c r="B72" s="62"/>
      <c r="C72" s="63"/>
      <c r="D72" s="62"/>
      <c r="E72" s="62"/>
      <c r="F72" s="64"/>
      <c r="G72" s="62"/>
      <c r="H72" s="63"/>
      <c r="I72" s="102" t="str">
        <f t="shared" si="2"/>
        <v/>
      </c>
      <c r="J72" s="62"/>
      <c r="K72" s="63"/>
    </row>
    <row r="73" spans="1:11" ht="15" customHeight="1" x14ac:dyDescent="0.25">
      <c r="A73" s="72"/>
      <c r="B73" s="57"/>
      <c r="C73" s="58"/>
      <c r="D73" s="57"/>
      <c r="E73" s="57"/>
      <c r="F73" s="59"/>
      <c r="G73" s="57"/>
      <c r="H73" s="58"/>
      <c r="I73" s="101" t="str">
        <f t="shared" si="2"/>
        <v/>
      </c>
      <c r="J73" s="57"/>
      <c r="K73" s="58"/>
    </row>
    <row r="74" spans="1:11" ht="15" customHeight="1" x14ac:dyDescent="0.25">
      <c r="A74" s="74"/>
      <c r="B74" s="62"/>
      <c r="C74" s="63"/>
      <c r="D74" s="62"/>
      <c r="E74" s="62"/>
      <c r="F74" s="64"/>
      <c r="G74" s="62"/>
      <c r="H74" s="63"/>
      <c r="I74" s="102" t="str">
        <f t="shared" si="2"/>
        <v/>
      </c>
      <c r="J74" s="62"/>
      <c r="K74" s="63"/>
    </row>
    <row r="75" spans="1:11" ht="15" customHeight="1" x14ac:dyDescent="0.25">
      <c r="A75" s="72"/>
      <c r="B75" s="57"/>
      <c r="C75" s="58"/>
      <c r="D75" s="57"/>
      <c r="E75" s="57"/>
      <c r="F75" s="59"/>
      <c r="G75" s="57"/>
      <c r="H75" s="58"/>
      <c r="I75" s="101" t="str">
        <f t="shared" si="2"/>
        <v/>
      </c>
      <c r="J75" s="57"/>
      <c r="K75" s="58"/>
    </row>
    <row r="76" spans="1:11" ht="15" customHeight="1" x14ac:dyDescent="0.25">
      <c r="A76" s="74"/>
      <c r="B76" s="62"/>
      <c r="C76" s="63"/>
      <c r="D76" s="62"/>
      <c r="E76" s="62"/>
      <c r="F76" s="64"/>
      <c r="G76" s="62"/>
      <c r="H76" s="63"/>
      <c r="I76" s="102" t="str">
        <f t="shared" si="2"/>
        <v/>
      </c>
      <c r="J76" s="62"/>
      <c r="K76" s="63"/>
    </row>
    <row r="77" spans="1:11" ht="15" customHeight="1" x14ac:dyDescent="0.25">
      <c r="A77" s="72"/>
      <c r="B77" s="57"/>
      <c r="C77" s="58"/>
      <c r="D77" s="57"/>
      <c r="E77" s="57"/>
      <c r="F77" s="59"/>
      <c r="G77" s="57"/>
      <c r="H77" s="58"/>
      <c r="I77" s="101" t="str">
        <f t="shared" si="2"/>
        <v/>
      </c>
      <c r="J77" s="57"/>
      <c r="K77" s="58"/>
    </row>
    <row r="78" spans="1:11" ht="15" customHeight="1" x14ac:dyDescent="0.25">
      <c r="A78" s="74"/>
      <c r="B78" s="62"/>
      <c r="C78" s="63"/>
      <c r="D78" s="62"/>
      <c r="E78" s="62"/>
      <c r="F78" s="64"/>
      <c r="G78" s="62"/>
      <c r="H78" s="63"/>
      <c r="I78" s="102" t="str">
        <f t="shared" si="2"/>
        <v/>
      </c>
      <c r="J78" s="62"/>
      <c r="K78" s="63"/>
    </row>
    <row r="79" spans="1:11" ht="15" customHeight="1" x14ac:dyDescent="0.25">
      <c r="A79" s="72"/>
      <c r="B79" s="57"/>
      <c r="C79" s="58"/>
      <c r="D79" s="57"/>
      <c r="E79" s="57"/>
      <c r="F79" s="59"/>
      <c r="G79" s="57"/>
      <c r="H79" s="58"/>
      <c r="I79" s="101" t="str">
        <f t="shared" si="2"/>
        <v/>
      </c>
      <c r="J79" s="57"/>
      <c r="K79" s="58"/>
    </row>
    <row r="80" spans="1:11" ht="15" customHeight="1" x14ac:dyDescent="0.25">
      <c r="A80" s="74"/>
      <c r="B80" s="62"/>
      <c r="C80" s="63"/>
      <c r="D80" s="62"/>
      <c r="E80" s="62"/>
      <c r="F80" s="64"/>
      <c r="G80" s="62"/>
      <c r="H80" s="63"/>
      <c r="I80" s="102" t="str">
        <f t="shared" si="2"/>
        <v/>
      </c>
      <c r="J80" s="62"/>
      <c r="K80" s="63"/>
    </row>
    <row r="81" spans="1:11" ht="15" customHeight="1" x14ac:dyDescent="0.25">
      <c r="A81" s="72"/>
      <c r="B81" s="57"/>
      <c r="C81" s="58"/>
      <c r="D81" s="57"/>
      <c r="E81" s="57"/>
      <c r="F81" s="59"/>
      <c r="G81" s="57"/>
      <c r="H81" s="58"/>
      <c r="I81" s="101" t="str">
        <f t="shared" si="2"/>
        <v/>
      </c>
      <c r="J81" s="57"/>
      <c r="K81" s="58"/>
    </row>
    <row r="82" spans="1:11" ht="15" customHeight="1" x14ac:dyDescent="0.25">
      <c r="A82" s="74"/>
      <c r="B82" s="62"/>
      <c r="C82" s="63"/>
      <c r="D82" s="62"/>
      <c r="E82" s="62"/>
      <c r="F82" s="64"/>
      <c r="G82" s="62"/>
      <c r="H82" s="63"/>
      <c r="I82" s="102" t="str">
        <f t="shared" si="2"/>
        <v/>
      </c>
      <c r="J82" s="62"/>
      <c r="K82" s="63"/>
    </row>
    <row r="83" spans="1:11" ht="15" customHeight="1" x14ac:dyDescent="0.25">
      <c r="A83" s="72"/>
      <c r="B83" s="57"/>
      <c r="C83" s="58"/>
      <c r="D83" s="57"/>
      <c r="E83" s="57"/>
      <c r="F83" s="59"/>
      <c r="G83" s="57"/>
      <c r="H83" s="58"/>
      <c r="I83" s="101" t="str">
        <f t="shared" si="2"/>
        <v/>
      </c>
      <c r="J83" s="57"/>
      <c r="K83" s="58"/>
    </row>
    <row r="84" spans="1:11" ht="15" customHeight="1" x14ac:dyDescent="0.25">
      <c r="A84" s="74"/>
      <c r="B84" s="62"/>
      <c r="C84" s="63"/>
      <c r="D84" s="62"/>
      <c r="E84" s="62"/>
      <c r="F84" s="64"/>
      <c r="G84" s="62"/>
      <c r="H84" s="63"/>
      <c r="I84" s="102" t="str">
        <f t="shared" si="2"/>
        <v/>
      </c>
      <c r="J84" s="62"/>
      <c r="K84" s="63"/>
    </row>
    <row r="85" spans="1:11" ht="15" customHeight="1" x14ac:dyDescent="0.25">
      <c r="A85" s="72"/>
      <c r="B85" s="57"/>
      <c r="C85" s="58"/>
      <c r="D85" s="57"/>
      <c r="E85" s="57"/>
      <c r="F85" s="59"/>
      <c r="G85" s="57"/>
      <c r="H85" s="58"/>
      <c r="I85" s="101" t="str">
        <f t="shared" si="2"/>
        <v/>
      </c>
      <c r="J85" s="57"/>
      <c r="K85" s="58"/>
    </row>
    <row r="86" spans="1:11" ht="15" customHeight="1" x14ac:dyDescent="0.25">
      <c r="A86" s="74"/>
      <c r="B86" s="62"/>
      <c r="C86" s="63"/>
      <c r="D86" s="62"/>
      <c r="E86" s="62"/>
      <c r="F86" s="64"/>
      <c r="G86" s="62"/>
      <c r="H86" s="63"/>
      <c r="I86" s="102" t="str">
        <f t="shared" si="2"/>
        <v/>
      </c>
      <c r="J86" s="62"/>
      <c r="K86" s="63"/>
    </row>
    <row r="87" spans="1:11" ht="15" customHeight="1" x14ac:dyDescent="0.25">
      <c r="A87" s="72"/>
      <c r="B87" s="57"/>
      <c r="C87" s="58"/>
      <c r="D87" s="57"/>
      <c r="E87" s="57"/>
      <c r="F87" s="59"/>
      <c r="G87" s="57"/>
      <c r="H87" s="58"/>
      <c r="I87" s="101" t="str">
        <f t="shared" si="2"/>
        <v/>
      </c>
      <c r="J87" s="57"/>
      <c r="K87" s="58"/>
    </row>
    <row r="88" spans="1:11" ht="15" customHeight="1" x14ac:dyDescent="0.25">
      <c r="A88" s="74"/>
      <c r="B88" s="62"/>
      <c r="C88" s="63"/>
      <c r="D88" s="62"/>
      <c r="E88" s="62"/>
      <c r="F88" s="64"/>
      <c r="G88" s="62"/>
      <c r="H88" s="63"/>
      <c r="I88" s="102" t="str">
        <f t="shared" si="2"/>
        <v/>
      </c>
      <c r="J88" s="62"/>
      <c r="K88" s="63"/>
    </row>
    <row r="89" spans="1:11" ht="15" customHeight="1" x14ac:dyDescent="0.25">
      <c r="A89" s="72"/>
      <c r="B89" s="57"/>
      <c r="C89" s="58"/>
      <c r="D89" s="57"/>
      <c r="E89" s="57"/>
      <c r="F89" s="59"/>
      <c r="G89" s="57"/>
      <c r="H89" s="58"/>
      <c r="I89" s="101" t="str">
        <f t="shared" si="2"/>
        <v/>
      </c>
      <c r="J89" s="57"/>
      <c r="K89" s="58"/>
    </row>
    <row r="90" spans="1:11" ht="15" customHeight="1" x14ac:dyDescent="0.25">
      <c r="A90" s="74"/>
      <c r="B90" s="62"/>
      <c r="C90" s="63"/>
      <c r="D90" s="62"/>
      <c r="E90" s="62"/>
      <c r="F90" s="64"/>
      <c r="G90" s="62"/>
      <c r="H90" s="63"/>
      <c r="I90" s="102" t="str">
        <f t="shared" si="2"/>
        <v/>
      </c>
      <c r="J90" s="62"/>
      <c r="K90" s="63"/>
    </row>
    <row r="91" spans="1:11" ht="15" customHeight="1" x14ac:dyDescent="0.25">
      <c r="A91" s="72"/>
      <c r="B91" s="57"/>
      <c r="C91" s="58"/>
      <c r="D91" s="57"/>
      <c r="E91" s="57"/>
      <c r="F91" s="59"/>
      <c r="G91" s="57"/>
      <c r="H91" s="58"/>
      <c r="I91" s="101" t="str">
        <f t="shared" si="2"/>
        <v/>
      </c>
      <c r="J91" s="57"/>
      <c r="K91" s="58"/>
    </row>
    <row r="92" spans="1:11" ht="15" customHeight="1" x14ac:dyDescent="0.25">
      <c r="A92" s="74"/>
      <c r="B92" s="62"/>
      <c r="C92" s="63"/>
      <c r="D92" s="62"/>
      <c r="E92" s="62"/>
      <c r="F92" s="64"/>
      <c r="G92" s="62"/>
      <c r="H92" s="63"/>
      <c r="I92" s="102" t="str">
        <f t="shared" si="2"/>
        <v/>
      </c>
      <c r="J92" s="62"/>
      <c r="K92" s="63"/>
    </row>
    <row r="93" spans="1:11" ht="15" customHeight="1" x14ac:dyDescent="0.25">
      <c r="A93" s="72"/>
      <c r="B93" s="57"/>
      <c r="C93" s="58"/>
      <c r="D93" s="57"/>
      <c r="E93" s="57"/>
      <c r="F93" s="59"/>
      <c r="G93" s="57"/>
      <c r="H93" s="58"/>
      <c r="I93" s="101" t="str">
        <f t="shared" si="2"/>
        <v/>
      </c>
      <c r="J93" s="57"/>
      <c r="K93" s="58"/>
    </row>
    <row r="94" spans="1:11" ht="15" customHeight="1" x14ac:dyDescent="0.25">
      <c r="A94" s="74"/>
      <c r="B94" s="62"/>
      <c r="C94" s="63"/>
      <c r="D94" s="62"/>
      <c r="E94" s="62"/>
      <c r="F94" s="64"/>
      <c r="G94" s="62"/>
      <c r="H94" s="63"/>
      <c r="I94" s="102" t="str">
        <f t="shared" si="2"/>
        <v/>
      </c>
      <c r="J94" s="62"/>
      <c r="K94" s="63"/>
    </row>
    <row r="95" spans="1:11" ht="15" customHeight="1" x14ac:dyDescent="0.25">
      <c r="A95" s="72"/>
      <c r="B95" s="57"/>
      <c r="C95" s="58"/>
      <c r="D95" s="57"/>
      <c r="E95" s="57"/>
      <c r="F95" s="59"/>
      <c r="G95" s="57"/>
      <c r="H95" s="58"/>
      <c r="I95" s="101" t="str">
        <f t="shared" si="2"/>
        <v/>
      </c>
      <c r="J95" s="57"/>
      <c r="K95" s="58"/>
    </row>
    <row r="96" spans="1:11" ht="15" customHeight="1" x14ac:dyDescent="0.25">
      <c r="A96" s="74"/>
      <c r="B96" s="62"/>
      <c r="C96" s="63"/>
      <c r="D96" s="62"/>
      <c r="E96" s="62"/>
      <c r="F96" s="64"/>
      <c r="G96" s="62"/>
      <c r="H96" s="63"/>
      <c r="I96" s="102" t="str">
        <f t="shared" si="2"/>
        <v/>
      </c>
      <c r="J96" s="62"/>
      <c r="K96" s="63"/>
    </row>
    <row r="97" spans="1:11" ht="15" customHeight="1" x14ac:dyDescent="0.25">
      <c r="A97" s="72"/>
      <c r="B97" s="57"/>
      <c r="C97" s="58"/>
      <c r="D97" s="57"/>
      <c r="E97" s="57"/>
      <c r="F97" s="59"/>
      <c r="G97" s="57"/>
      <c r="H97" s="58"/>
      <c r="I97" s="101" t="str">
        <f t="shared" si="2"/>
        <v/>
      </c>
      <c r="J97" s="57"/>
      <c r="K97" s="58"/>
    </row>
    <row r="98" spans="1:11" ht="15" customHeight="1" x14ac:dyDescent="0.25">
      <c r="A98" s="74"/>
      <c r="B98" s="62"/>
      <c r="C98" s="63"/>
      <c r="D98" s="62"/>
      <c r="E98" s="62"/>
      <c r="F98" s="64"/>
      <c r="G98" s="62"/>
      <c r="H98" s="63"/>
      <c r="I98" s="102" t="str">
        <f t="shared" si="2"/>
        <v/>
      </c>
      <c r="J98" s="62"/>
      <c r="K98" s="63"/>
    </row>
    <row r="99" spans="1:11" ht="15" customHeight="1" x14ac:dyDescent="0.25">
      <c r="A99" s="72"/>
      <c r="B99" s="57"/>
      <c r="C99" s="58"/>
      <c r="D99" s="57"/>
      <c r="E99" s="57"/>
      <c r="F99" s="59"/>
      <c r="G99" s="57"/>
      <c r="H99" s="58"/>
      <c r="I99" s="101" t="str">
        <f t="shared" si="2"/>
        <v/>
      </c>
      <c r="J99" s="57"/>
      <c r="K99" s="58"/>
    </row>
    <row r="100" spans="1:11" ht="15" customHeight="1" x14ac:dyDescent="0.25">
      <c r="A100" s="74"/>
      <c r="B100" s="62"/>
      <c r="C100" s="63"/>
      <c r="D100" s="62"/>
      <c r="E100" s="62"/>
      <c r="F100" s="64"/>
      <c r="G100" s="62"/>
      <c r="H100" s="63"/>
      <c r="I100" s="102" t="str">
        <f t="shared" si="2"/>
        <v/>
      </c>
      <c r="J100" s="62"/>
      <c r="K100" s="63"/>
    </row>
    <row r="101" spans="1:11" ht="15" customHeight="1" x14ac:dyDescent="0.25">
      <c r="A101" s="72"/>
      <c r="B101" s="57"/>
      <c r="C101" s="58"/>
      <c r="D101" s="57"/>
      <c r="E101" s="57"/>
      <c r="F101" s="59"/>
      <c r="G101" s="57"/>
      <c r="H101" s="58"/>
      <c r="I101" s="101" t="str">
        <f t="shared" si="2"/>
        <v/>
      </c>
      <c r="J101" s="57"/>
      <c r="K101" s="58"/>
    </row>
    <row r="102" spans="1:11" ht="15" customHeight="1" x14ac:dyDescent="0.25">
      <c r="A102" s="74"/>
      <c r="B102" s="62"/>
      <c r="C102" s="63"/>
      <c r="D102" s="62"/>
      <c r="E102" s="62"/>
      <c r="F102" s="64"/>
      <c r="G102" s="62"/>
      <c r="H102" s="63"/>
      <c r="I102" s="102" t="str">
        <f t="shared" ref="I102:I133" si="3">IF(F102="","",IF(I101="",F102,I101+F102))</f>
        <v/>
      </c>
      <c r="J102" s="62"/>
      <c r="K102" s="63"/>
    </row>
    <row r="103" spans="1:11" ht="15" customHeight="1" x14ac:dyDescent="0.25">
      <c r="A103" s="72"/>
      <c r="B103" s="57"/>
      <c r="C103" s="58"/>
      <c r="D103" s="57"/>
      <c r="E103" s="57"/>
      <c r="F103" s="59"/>
      <c r="G103" s="57"/>
      <c r="H103" s="58"/>
      <c r="I103" s="101" t="str">
        <f t="shared" si="3"/>
        <v/>
      </c>
      <c r="J103" s="57"/>
      <c r="K103" s="58"/>
    </row>
    <row r="104" spans="1:11" ht="15" customHeight="1" x14ac:dyDescent="0.25">
      <c r="A104" s="74"/>
      <c r="B104" s="62"/>
      <c r="C104" s="63"/>
      <c r="D104" s="62"/>
      <c r="E104" s="62"/>
      <c r="F104" s="64"/>
      <c r="G104" s="62"/>
      <c r="H104" s="63"/>
      <c r="I104" s="102" t="str">
        <f t="shared" si="3"/>
        <v/>
      </c>
      <c r="J104" s="62"/>
      <c r="K104" s="63"/>
    </row>
    <row r="105" spans="1:11" ht="15" customHeight="1" x14ac:dyDescent="0.25">
      <c r="A105" s="72"/>
      <c r="B105" s="57"/>
      <c r="C105" s="58"/>
      <c r="D105" s="57"/>
      <c r="E105" s="57"/>
      <c r="F105" s="59"/>
      <c r="G105" s="57"/>
      <c r="H105" s="58"/>
      <c r="I105" s="101" t="str">
        <f t="shared" si="3"/>
        <v/>
      </c>
      <c r="J105" s="57"/>
      <c r="K105" s="58"/>
    </row>
    <row r="106" spans="1:11" ht="15" customHeight="1" x14ac:dyDescent="0.25">
      <c r="A106" s="74"/>
      <c r="B106" s="62"/>
      <c r="C106" s="63"/>
      <c r="D106" s="62"/>
      <c r="E106" s="62"/>
      <c r="F106" s="64"/>
      <c r="G106" s="62"/>
      <c r="H106" s="63"/>
      <c r="I106" s="102" t="str">
        <f t="shared" si="3"/>
        <v/>
      </c>
      <c r="J106" s="62"/>
      <c r="K106" s="63"/>
    </row>
    <row r="107" spans="1:11" ht="15" customHeight="1" x14ac:dyDescent="0.25">
      <c r="A107" s="72"/>
      <c r="B107" s="57"/>
      <c r="C107" s="58"/>
      <c r="D107" s="57"/>
      <c r="E107" s="57"/>
      <c r="F107" s="59"/>
      <c r="G107" s="57"/>
      <c r="H107" s="58"/>
      <c r="I107" s="101" t="str">
        <f t="shared" si="3"/>
        <v/>
      </c>
      <c r="J107" s="57"/>
      <c r="K107" s="58"/>
    </row>
    <row r="108" spans="1:11" ht="15" customHeight="1" x14ac:dyDescent="0.25">
      <c r="A108" s="74"/>
      <c r="B108" s="62"/>
      <c r="C108" s="63"/>
      <c r="D108" s="62"/>
      <c r="E108" s="62"/>
      <c r="F108" s="64"/>
      <c r="G108" s="62"/>
      <c r="H108" s="63"/>
      <c r="I108" s="102" t="str">
        <f t="shared" si="3"/>
        <v/>
      </c>
      <c r="J108" s="62"/>
      <c r="K108" s="63"/>
    </row>
    <row r="109" spans="1:11" ht="15" customHeight="1" x14ac:dyDescent="0.25">
      <c r="A109" s="72"/>
      <c r="B109" s="57"/>
      <c r="C109" s="58"/>
      <c r="D109" s="57"/>
      <c r="E109" s="57"/>
      <c r="F109" s="59"/>
      <c r="G109" s="57"/>
      <c r="H109" s="58"/>
      <c r="I109" s="101" t="str">
        <f t="shared" si="3"/>
        <v/>
      </c>
      <c r="J109" s="57"/>
      <c r="K109" s="58"/>
    </row>
    <row r="110" spans="1:11" ht="15" customHeight="1" x14ac:dyDescent="0.25">
      <c r="A110" s="74"/>
      <c r="B110" s="62"/>
      <c r="C110" s="63"/>
      <c r="D110" s="62"/>
      <c r="E110" s="62"/>
      <c r="F110" s="64"/>
      <c r="G110" s="62"/>
      <c r="H110" s="63"/>
      <c r="I110" s="102" t="str">
        <f t="shared" si="3"/>
        <v/>
      </c>
      <c r="J110" s="62"/>
      <c r="K110" s="63"/>
    </row>
    <row r="111" spans="1:11" ht="15" customHeight="1" x14ac:dyDescent="0.25">
      <c r="A111" s="72"/>
      <c r="B111" s="57"/>
      <c r="C111" s="58"/>
      <c r="D111" s="57"/>
      <c r="E111" s="57"/>
      <c r="F111" s="59"/>
      <c r="G111" s="57"/>
      <c r="H111" s="58"/>
      <c r="I111" s="101" t="str">
        <f t="shared" si="3"/>
        <v/>
      </c>
      <c r="J111" s="57"/>
      <c r="K111" s="58"/>
    </row>
    <row r="112" spans="1:11" ht="15" customHeight="1" x14ac:dyDescent="0.25">
      <c r="A112" s="74"/>
      <c r="B112" s="62"/>
      <c r="C112" s="63"/>
      <c r="D112" s="62"/>
      <c r="E112" s="62"/>
      <c r="F112" s="64"/>
      <c r="G112" s="62"/>
      <c r="H112" s="63"/>
      <c r="I112" s="102" t="str">
        <f t="shared" si="3"/>
        <v/>
      </c>
      <c r="J112" s="62"/>
      <c r="K112" s="63"/>
    </row>
    <row r="113" spans="1:11" ht="15" customHeight="1" x14ac:dyDescent="0.25">
      <c r="A113" s="72"/>
      <c r="B113" s="57"/>
      <c r="C113" s="58"/>
      <c r="D113" s="57"/>
      <c r="E113" s="57"/>
      <c r="F113" s="59"/>
      <c r="G113" s="57"/>
      <c r="H113" s="58"/>
      <c r="I113" s="101" t="str">
        <f t="shared" si="3"/>
        <v/>
      </c>
      <c r="J113" s="57"/>
      <c r="K113" s="58"/>
    </row>
    <row r="114" spans="1:11" ht="15" customHeight="1" x14ac:dyDescent="0.25">
      <c r="A114" s="74"/>
      <c r="B114" s="62"/>
      <c r="C114" s="63"/>
      <c r="D114" s="62"/>
      <c r="E114" s="62"/>
      <c r="F114" s="64"/>
      <c r="G114" s="62"/>
      <c r="H114" s="63"/>
      <c r="I114" s="102" t="str">
        <f t="shared" si="3"/>
        <v/>
      </c>
      <c r="J114" s="62"/>
      <c r="K114" s="63"/>
    </row>
    <row r="115" spans="1:11" ht="15" customHeight="1" x14ac:dyDescent="0.25">
      <c r="A115" s="72"/>
      <c r="B115" s="57"/>
      <c r="C115" s="58"/>
      <c r="D115" s="57"/>
      <c r="E115" s="57"/>
      <c r="F115" s="59"/>
      <c r="G115" s="57"/>
      <c r="H115" s="58"/>
      <c r="I115" s="101" t="str">
        <f t="shared" si="3"/>
        <v/>
      </c>
      <c r="J115" s="57"/>
      <c r="K115" s="58"/>
    </row>
    <row r="116" spans="1:11" ht="15" customHeight="1" x14ac:dyDescent="0.25">
      <c r="A116" s="74"/>
      <c r="B116" s="62"/>
      <c r="C116" s="63"/>
      <c r="D116" s="62"/>
      <c r="E116" s="62"/>
      <c r="F116" s="64"/>
      <c r="G116" s="62"/>
      <c r="H116" s="63"/>
      <c r="I116" s="102" t="str">
        <f t="shared" si="3"/>
        <v/>
      </c>
      <c r="J116" s="62"/>
      <c r="K116" s="63"/>
    </row>
    <row r="117" spans="1:11" ht="15" customHeight="1" x14ac:dyDescent="0.25">
      <c r="A117" s="72"/>
      <c r="B117" s="57"/>
      <c r="C117" s="58"/>
      <c r="D117" s="57"/>
      <c r="E117" s="57"/>
      <c r="F117" s="59"/>
      <c r="G117" s="57"/>
      <c r="H117" s="58"/>
      <c r="I117" s="101" t="str">
        <f t="shared" si="3"/>
        <v/>
      </c>
      <c r="J117" s="57"/>
      <c r="K117" s="58"/>
    </row>
    <row r="118" spans="1:11" ht="15" customHeight="1" x14ac:dyDescent="0.25">
      <c r="A118" s="74"/>
      <c r="B118" s="62"/>
      <c r="C118" s="63"/>
      <c r="D118" s="62"/>
      <c r="E118" s="62"/>
      <c r="F118" s="64"/>
      <c r="G118" s="62"/>
      <c r="H118" s="63"/>
      <c r="I118" s="102" t="str">
        <f t="shared" si="3"/>
        <v/>
      </c>
      <c r="J118" s="62"/>
      <c r="K118" s="63"/>
    </row>
    <row r="119" spans="1:11" ht="15" customHeight="1" x14ac:dyDescent="0.25">
      <c r="A119" s="72"/>
      <c r="B119" s="57"/>
      <c r="C119" s="58"/>
      <c r="D119" s="57"/>
      <c r="E119" s="57"/>
      <c r="F119" s="59"/>
      <c r="G119" s="57"/>
      <c r="H119" s="58"/>
      <c r="I119" s="101" t="str">
        <f t="shared" si="3"/>
        <v/>
      </c>
      <c r="J119" s="57"/>
      <c r="K119" s="58"/>
    </row>
    <row r="120" spans="1:11" ht="15" customHeight="1" x14ac:dyDescent="0.25">
      <c r="A120" s="74"/>
      <c r="B120" s="62"/>
      <c r="C120" s="63"/>
      <c r="D120" s="62"/>
      <c r="E120" s="62"/>
      <c r="F120" s="64"/>
      <c r="G120" s="62"/>
      <c r="H120" s="63"/>
      <c r="I120" s="102" t="str">
        <f t="shared" si="3"/>
        <v/>
      </c>
      <c r="J120" s="62"/>
      <c r="K120" s="63"/>
    </row>
    <row r="121" spans="1:11" ht="15" customHeight="1" x14ac:dyDescent="0.25">
      <c r="A121" s="72"/>
      <c r="B121" s="57"/>
      <c r="C121" s="58"/>
      <c r="D121" s="57"/>
      <c r="E121" s="57"/>
      <c r="F121" s="59"/>
      <c r="G121" s="57"/>
      <c r="H121" s="58"/>
      <c r="I121" s="101" t="str">
        <f t="shared" si="3"/>
        <v/>
      </c>
      <c r="J121" s="57"/>
      <c r="K121" s="58"/>
    </row>
    <row r="122" spans="1:11" ht="15" customHeight="1" x14ac:dyDescent="0.25">
      <c r="A122" s="74"/>
      <c r="B122" s="62"/>
      <c r="C122" s="63"/>
      <c r="D122" s="62"/>
      <c r="E122" s="62"/>
      <c r="F122" s="64"/>
      <c r="G122" s="62"/>
      <c r="H122" s="63"/>
      <c r="I122" s="102" t="str">
        <f t="shared" si="3"/>
        <v/>
      </c>
      <c r="J122" s="62"/>
      <c r="K122" s="63"/>
    </row>
    <row r="123" spans="1:11" ht="15" customHeight="1" x14ac:dyDescent="0.25">
      <c r="A123" s="72"/>
      <c r="B123" s="57"/>
      <c r="C123" s="58"/>
      <c r="D123" s="57"/>
      <c r="E123" s="57"/>
      <c r="F123" s="59"/>
      <c r="G123" s="57"/>
      <c r="H123" s="58"/>
      <c r="I123" s="101" t="str">
        <f t="shared" si="3"/>
        <v/>
      </c>
      <c r="J123" s="57"/>
      <c r="K123" s="58"/>
    </row>
    <row r="124" spans="1:11" ht="15" customHeight="1" x14ac:dyDescent="0.25">
      <c r="A124" s="74"/>
      <c r="B124" s="62"/>
      <c r="C124" s="63"/>
      <c r="D124" s="62"/>
      <c r="E124" s="62"/>
      <c r="F124" s="64"/>
      <c r="G124" s="62"/>
      <c r="H124" s="63"/>
      <c r="I124" s="102" t="str">
        <f t="shared" si="3"/>
        <v/>
      </c>
      <c r="J124" s="62"/>
      <c r="K124" s="63"/>
    </row>
    <row r="125" spans="1:11" ht="15" customHeight="1" x14ac:dyDescent="0.25">
      <c r="A125" s="72"/>
      <c r="B125" s="57"/>
      <c r="C125" s="58"/>
      <c r="D125" s="57"/>
      <c r="E125" s="57"/>
      <c r="F125" s="59"/>
      <c r="G125" s="57"/>
      <c r="H125" s="58"/>
      <c r="I125" s="101" t="str">
        <f t="shared" si="3"/>
        <v/>
      </c>
      <c r="J125" s="57"/>
      <c r="K125" s="58"/>
    </row>
    <row r="126" spans="1:11" ht="15" customHeight="1" x14ac:dyDescent="0.25">
      <c r="A126" s="74"/>
      <c r="B126" s="62"/>
      <c r="C126" s="63"/>
      <c r="D126" s="62"/>
      <c r="E126" s="62"/>
      <c r="F126" s="64"/>
      <c r="G126" s="62"/>
      <c r="H126" s="63"/>
      <c r="I126" s="102" t="str">
        <f t="shared" si="3"/>
        <v/>
      </c>
      <c r="J126" s="62"/>
      <c r="K126" s="63"/>
    </row>
    <row r="127" spans="1:11" ht="15" customHeight="1" x14ac:dyDescent="0.25">
      <c r="A127" s="72"/>
      <c r="B127" s="57"/>
      <c r="C127" s="58"/>
      <c r="D127" s="57"/>
      <c r="E127" s="57"/>
      <c r="F127" s="59"/>
      <c r="G127" s="57"/>
      <c r="H127" s="58"/>
      <c r="I127" s="101" t="str">
        <f t="shared" si="3"/>
        <v/>
      </c>
      <c r="J127" s="57"/>
      <c r="K127" s="58"/>
    </row>
    <row r="128" spans="1:11" ht="15" customHeight="1" x14ac:dyDescent="0.25">
      <c r="A128" s="74"/>
      <c r="B128" s="62"/>
      <c r="C128" s="63"/>
      <c r="D128" s="62"/>
      <c r="E128" s="62"/>
      <c r="F128" s="64"/>
      <c r="G128" s="62"/>
      <c r="H128" s="63"/>
      <c r="I128" s="102" t="str">
        <f t="shared" si="3"/>
        <v/>
      </c>
      <c r="J128" s="62"/>
      <c r="K128" s="63"/>
    </row>
    <row r="129" spans="1:11" ht="15" customHeight="1" x14ac:dyDescent="0.25">
      <c r="A129" s="72"/>
      <c r="B129" s="57"/>
      <c r="C129" s="58"/>
      <c r="D129" s="57"/>
      <c r="E129" s="57"/>
      <c r="F129" s="59"/>
      <c r="G129" s="57"/>
      <c r="H129" s="58"/>
      <c r="I129" s="101" t="str">
        <f t="shared" si="3"/>
        <v/>
      </c>
      <c r="J129" s="57"/>
      <c r="K129" s="58"/>
    </row>
    <row r="130" spans="1:11" ht="15" customHeight="1" x14ac:dyDescent="0.25">
      <c r="A130" s="74"/>
      <c r="B130" s="62"/>
      <c r="C130" s="63"/>
      <c r="D130" s="62"/>
      <c r="E130" s="62"/>
      <c r="F130" s="64"/>
      <c r="G130" s="62"/>
      <c r="H130" s="63"/>
      <c r="I130" s="102" t="str">
        <f t="shared" si="3"/>
        <v/>
      </c>
      <c r="J130" s="62"/>
      <c r="K130" s="63"/>
    </row>
    <row r="131" spans="1:11" ht="15" customHeight="1" x14ac:dyDescent="0.25">
      <c r="A131" s="72"/>
      <c r="B131" s="57"/>
      <c r="C131" s="58"/>
      <c r="D131" s="57"/>
      <c r="E131" s="57"/>
      <c r="F131" s="59"/>
      <c r="G131" s="57"/>
      <c r="H131" s="58"/>
      <c r="I131" s="101" t="str">
        <f t="shared" si="3"/>
        <v/>
      </c>
      <c r="J131" s="57"/>
      <c r="K131" s="58"/>
    </row>
    <row r="132" spans="1:11" ht="15" customHeight="1" x14ac:dyDescent="0.25">
      <c r="A132" s="74"/>
      <c r="B132" s="62"/>
      <c r="C132" s="63"/>
      <c r="D132" s="62"/>
      <c r="E132" s="62"/>
      <c r="F132" s="64"/>
      <c r="G132" s="62"/>
      <c r="H132" s="63"/>
      <c r="I132" s="102" t="str">
        <f t="shared" si="3"/>
        <v/>
      </c>
      <c r="J132" s="62"/>
      <c r="K132" s="63"/>
    </row>
    <row r="133" spans="1:11" ht="15" customHeight="1" x14ac:dyDescent="0.25">
      <c r="A133" s="72"/>
      <c r="B133" s="57"/>
      <c r="C133" s="58"/>
      <c r="D133" s="57"/>
      <c r="E133" s="57"/>
      <c r="F133" s="59"/>
      <c r="G133" s="57"/>
      <c r="H133" s="58"/>
      <c r="I133" s="101" t="str">
        <f t="shared" si="3"/>
        <v/>
      </c>
      <c r="J133" s="57"/>
      <c r="K133" s="58"/>
    </row>
    <row r="134" spans="1:11" ht="15" customHeight="1" x14ac:dyDescent="0.25">
      <c r="A134" s="74"/>
      <c r="B134" s="62"/>
      <c r="C134" s="63"/>
      <c r="D134" s="62"/>
      <c r="E134" s="62"/>
      <c r="F134" s="64"/>
      <c r="G134" s="62"/>
      <c r="H134" s="63"/>
      <c r="I134" s="102" t="str">
        <f t="shared" ref="I134:I154" si="4">IF(F134="","",IF(I133="",F134,I133+F134))</f>
        <v/>
      </c>
      <c r="J134" s="62"/>
      <c r="K134" s="63"/>
    </row>
    <row r="135" spans="1:11" ht="15" customHeight="1" x14ac:dyDescent="0.25">
      <c r="A135" s="72"/>
      <c r="B135" s="57"/>
      <c r="C135" s="58"/>
      <c r="D135" s="57"/>
      <c r="E135" s="57"/>
      <c r="F135" s="59"/>
      <c r="G135" s="57"/>
      <c r="H135" s="58"/>
      <c r="I135" s="101" t="str">
        <f t="shared" si="4"/>
        <v/>
      </c>
      <c r="J135" s="57"/>
      <c r="K135" s="58"/>
    </row>
    <row r="136" spans="1:11" ht="15" customHeight="1" x14ac:dyDescent="0.25">
      <c r="A136" s="74"/>
      <c r="B136" s="62"/>
      <c r="C136" s="63"/>
      <c r="D136" s="62"/>
      <c r="E136" s="62"/>
      <c r="F136" s="64"/>
      <c r="G136" s="62"/>
      <c r="H136" s="63"/>
      <c r="I136" s="102" t="str">
        <f t="shared" si="4"/>
        <v/>
      </c>
      <c r="J136" s="62"/>
      <c r="K136" s="63"/>
    </row>
    <row r="137" spans="1:11" ht="15" customHeight="1" x14ac:dyDescent="0.25">
      <c r="A137" s="72"/>
      <c r="B137" s="57"/>
      <c r="C137" s="58"/>
      <c r="D137" s="57"/>
      <c r="E137" s="57"/>
      <c r="F137" s="59"/>
      <c r="G137" s="57"/>
      <c r="H137" s="58"/>
      <c r="I137" s="101" t="str">
        <f t="shared" si="4"/>
        <v/>
      </c>
      <c r="J137" s="57"/>
      <c r="K137" s="58"/>
    </row>
    <row r="138" spans="1:11" ht="15" customHeight="1" x14ac:dyDescent="0.25">
      <c r="A138" s="74"/>
      <c r="B138" s="62"/>
      <c r="C138" s="63"/>
      <c r="D138" s="62"/>
      <c r="E138" s="62"/>
      <c r="F138" s="64"/>
      <c r="G138" s="62"/>
      <c r="H138" s="63"/>
      <c r="I138" s="102" t="str">
        <f t="shared" si="4"/>
        <v/>
      </c>
      <c r="J138" s="62"/>
      <c r="K138" s="63"/>
    </row>
    <row r="139" spans="1:11" ht="15" customHeight="1" x14ac:dyDescent="0.25">
      <c r="A139" s="72"/>
      <c r="B139" s="57"/>
      <c r="C139" s="58"/>
      <c r="D139" s="57"/>
      <c r="E139" s="57"/>
      <c r="F139" s="59"/>
      <c r="G139" s="57"/>
      <c r="H139" s="58"/>
      <c r="I139" s="101" t="str">
        <f t="shared" si="4"/>
        <v/>
      </c>
      <c r="J139" s="57"/>
      <c r="K139" s="58"/>
    </row>
    <row r="140" spans="1:11" ht="15" customHeight="1" x14ac:dyDescent="0.25">
      <c r="A140" s="74"/>
      <c r="B140" s="62"/>
      <c r="C140" s="63"/>
      <c r="D140" s="62"/>
      <c r="E140" s="62"/>
      <c r="F140" s="64"/>
      <c r="G140" s="62"/>
      <c r="H140" s="63"/>
      <c r="I140" s="102" t="str">
        <f t="shared" si="4"/>
        <v/>
      </c>
      <c r="J140" s="62"/>
      <c r="K140" s="63"/>
    </row>
    <row r="141" spans="1:11" ht="15" customHeight="1" x14ac:dyDescent="0.25">
      <c r="A141" s="72"/>
      <c r="B141" s="57"/>
      <c r="C141" s="58"/>
      <c r="D141" s="57"/>
      <c r="E141" s="57"/>
      <c r="F141" s="59"/>
      <c r="G141" s="57"/>
      <c r="H141" s="58"/>
      <c r="I141" s="101" t="str">
        <f t="shared" si="4"/>
        <v/>
      </c>
      <c r="J141" s="57"/>
      <c r="K141" s="58"/>
    </row>
    <row r="142" spans="1:11" ht="15" customHeight="1" x14ac:dyDescent="0.25">
      <c r="A142" s="74"/>
      <c r="B142" s="62"/>
      <c r="C142" s="63"/>
      <c r="D142" s="62"/>
      <c r="E142" s="62"/>
      <c r="F142" s="64"/>
      <c r="G142" s="62"/>
      <c r="H142" s="63"/>
      <c r="I142" s="102" t="str">
        <f t="shared" si="4"/>
        <v/>
      </c>
      <c r="J142" s="62"/>
      <c r="K142" s="63"/>
    </row>
    <row r="143" spans="1:11" ht="15" customHeight="1" x14ac:dyDescent="0.25">
      <c r="A143" s="72"/>
      <c r="B143" s="57"/>
      <c r="C143" s="58"/>
      <c r="D143" s="57"/>
      <c r="E143" s="57"/>
      <c r="F143" s="59"/>
      <c r="G143" s="57"/>
      <c r="H143" s="58"/>
      <c r="I143" s="101" t="str">
        <f t="shared" si="4"/>
        <v/>
      </c>
      <c r="J143" s="57"/>
      <c r="K143" s="58"/>
    </row>
    <row r="144" spans="1:11" ht="15" customHeight="1" x14ac:dyDescent="0.25">
      <c r="A144" s="74"/>
      <c r="B144" s="62"/>
      <c r="C144" s="63"/>
      <c r="D144" s="62"/>
      <c r="E144" s="62"/>
      <c r="F144" s="64"/>
      <c r="G144" s="62"/>
      <c r="H144" s="63"/>
      <c r="I144" s="102" t="str">
        <f t="shared" si="4"/>
        <v/>
      </c>
      <c r="J144" s="62"/>
      <c r="K144" s="63"/>
    </row>
    <row r="145" spans="1:11" ht="15" customHeight="1" x14ac:dyDescent="0.25">
      <c r="A145" s="72"/>
      <c r="B145" s="57"/>
      <c r="C145" s="58"/>
      <c r="D145" s="57"/>
      <c r="E145" s="57"/>
      <c r="F145" s="59"/>
      <c r="G145" s="57"/>
      <c r="H145" s="58"/>
      <c r="I145" s="101" t="str">
        <f t="shared" si="4"/>
        <v/>
      </c>
      <c r="J145" s="57"/>
      <c r="K145" s="58"/>
    </row>
    <row r="146" spans="1:11" ht="15" customHeight="1" x14ac:dyDescent="0.25">
      <c r="A146" s="74"/>
      <c r="B146" s="62"/>
      <c r="C146" s="63"/>
      <c r="D146" s="62"/>
      <c r="E146" s="62"/>
      <c r="F146" s="64"/>
      <c r="G146" s="62"/>
      <c r="H146" s="63"/>
      <c r="I146" s="102" t="str">
        <f t="shared" si="4"/>
        <v/>
      </c>
      <c r="J146" s="62"/>
      <c r="K146" s="63"/>
    </row>
    <row r="147" spans="1:11" ht="15" customHeight="1" x14ac:dyDescent="0.25">
      <c r="A147" s="72"/>
      <c r="B147" s="57"/>
      <c r="C147" s="58"/>
      <c r="D147" s="57"/>
      <c r="E147" s="57"/>
      <c r="F147" s="59"/>
      <c r="G147" s="57"/>
      <c r="H147" s="58"/>
      <c r="I147" s="101" t="str">
        <f t="shared" si="4"/>
        <v/>
      </c>
      <c r="J147" s="57"/>
      <c r="K147" s="58"/>
    </row>
    <row r="148" spans="1:11" ht="15" customHeight="1" x14ac:dyDescent="0.25">
      <c r="A148" s="74"/>
      <c r="B148" s="62"/>
      <c r="C148" s="63"/>
      <c r="D148" s="62"/>
      <c r="E148" s="62"/>
      <c r="F148" s="64"/>
      <c r="G148" s="62"/>
      <c r="H148" s="63"/>
      <c r="I148" s="102" t="str">
        <f t="shared" si="4"/>
        <v/>
      </c>
      <c r="J148" s="62"/>
      <c r="K148" s="63"/>
    </row>
    <row r="149" spans="1:11" ht="15" customHeight="1" x14ac:dyDescent="0.25">
      <c r="A149" s="72"/>
      <c r="B149" s="57"/>
      <c r="C149" s="58"/>
      <c r="D149" s="57"/>
      <c r="E149" s="57"/>
      <c r="F149" s="59"/>
      <c r="G149" s="57"/>
      <c r="H149" s="58"/>
      <c r="I149" s="101" t="str">
        <f t="shared" si="4"/>
        <v/>
      </c>
      <c r="J149" s="57"/>
      <c r="K149" s="58"/>
    </row>
    <row r="150" spans="1:11" ht="15" customHeight="1" x14ac:dyDescent="0.25">
      <c r="A150" s="74"/>
      <c r="B150" s="62"/>
      <c r="C150" s="63"/>
      <c r="D150" s="62"/>
      <c r="E150" s="62"/>
      <c r="F150" s="64"/>
      <c r="G150" s="62"/>
      <c r="H150" s="63"/>
      <c r="I150" s="102" t="str">
        <f t="shared" si="4"/>
        <v/>
      </c>
      <c r="J150" s="62"/>
      <c r="K150" s="63"/>
    </row>
    <row r="151" spans="1:11" ht="15" customHeight="1" x14ac:dyDescent="0.25">
      <c r="A151" s="72"/>
      <c r="B151" s="57"/>
      <c r="C151" s="58"/>
      <c r="D151" s="57"/>
      <c r="E151" s="57"/>
      <c r="F151" s="59"/>
      <c r="G151" s="57"/>
      <c r="H151" s="58"/>
      <c r="I151" s="101" t="str">
        <f t="shared" si="4"/>
        <v/>
      </c>
      <c r="J151" s="57"/>
      <c r="K151" s="58"/>
    </row>
    <row r="152" spans="1:11" ht="15" customHeight="1" x14ac:dyDescent="0.25">
      <c r="A152" s="74"/>
      <c r="B152" s="62"/>
      <c r="C152" s="63"/>
      <c r="D152" s="62"/>
      <c r="E152" s="62"/>
      <c r="F152" s="64"/>
      <c r="G152" s="62"/>
      <c r="H152" s="63"/>
      <c r="I152" s="102" t="str">
        <f t="shared" si="4"/>
        <v/>
      </c>
      <c r="J152" s="62"/>
      <c r="K152" s="63"/>
    </row>
    <row r="153" spans="1:11" ht="15" customHeight="1" x14ac:dyDescent="0.25">
      <c r="A153" s="72"/>
      <c r="B153" s="57"/>
      <c r="C153" s="58"/>
      <c r="D153" s="57"/>
      <c r="E153" s="57"/>
      <c r="F153" s="59"/>
      <c r="G153" s="57"/>
      <c r="H153" s="58"/>
      <c r="I153" s="101" t="str">
        <f t="shared" si="4"/>
        <v/>
      </c>
      <c r="J153" s="57"/>
      <c r="K153" s="58"/>
    </row>
    <row r="154" spans="1:11" ht="15" customHeight="1" x14ac:dyDescent="0.25">
      <c r="A154" s="74"/>
      <c r="B154" s="62"/>
      <c r="C154" s="63"/>
      <c r="D154" s="62"/>
      <c r="E154" s="62"/>
      <c r="F154" s="64"/>
      <c r="G154" s="62"/>
      <c r="H154" s="63"/>
      <c r="I154" s="102" t="str">
        <f t="shared" si="4"/>
        <v/>
      </c>
      <c r="J154" s="62"/>
      <c r="K154" s="63"/>
    </row>
    <row r="157" spans="1:11" ht="25.5" customHeight="1" x14ac:dyDescent="0.25">
      <c r="A157" s="138" t="s">
        <v>186</v>
      </c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</row>
    <row r="158" spans="1:11" ht="23.25" customHeight="1" x14ac:dyDescent="0.25">
      <c r="A158" s="14" t="s">
        <v>180</v>
      </c>
      <c r="B158" s="14" t="s">
        <v>187</v>
      </c>
      <c r="C158" s="14" t="s">
        <v>188</v>
      </c>
      <c r="D158" s="14" t="s">
        <v>189</v>
      </c>
      <c r="E158" s="14" t="s">
        <v>190</v>
      </c>
      <c r="F158" s="14" t="s">
        <v>191</v>
      </c>
      <c r="G158" s="14" t="s">
        <v>192</v>
      </c>
      <c r="H158" s="14" t="s">
        <v>193</v>
      </c>
      <c r="I158" s="14" t="s">
        <v>194</v>
      </c>
      <c r="J158" s="14" t="s">
        <v>195</v>
      </c>
      <c r="K158" s="14" t="s">
        <v>36</v>
      </c>
    </row>
    <row r="159" spans="1:11" ht="15" customHeight="1" x14ac:dyDescent="0.25">
      <c r="A159" s="76" t="s">
        <v>196</v>
      </c>
      <c r="B159" s="72">
        <v>46133</v>
      </c>
      <c r="C159" s="77">
        <f>COUNTIF(E5:E154,"Wk 1 (21 Apr)")</f>
        <v>2</v>
      </c>
      <c r="D159" s="78">
        <f>SUMPRODUCT((E5:E154="Wk 1 (21 Apr)")*(G5:G154="Cash")*(F5:F154))</f>
        <v>0</v>
      </c>
      <c r="E159" s="78">
        <f>SUMPRODUCT((E5:E154="Wk 1 (21 Apr)")*((G5:G154="MTN MoMo")+(G5:G154="Vodafone Cash")+(G5:G154="AirtelTigo Money"))*(F5:F154))</f>
        <v>0</v>
      </c>
      <c r="F159" s="78">
        <f>SUMPRODUCT((E5:E154="Wk 1 (21 Apr)")*(G5:G154="Bank Transfer")*(F5:F154))</f>
        <v>1000</v>
      </c>
      <c r="G159" s="78">
        <f>SUMPRODUCT((E5:E154="Wk 1 (21 Apr)")*(G5:G154="Cheque")*(F5:F154))</f>
        <v>0</v>
      </c>
      <c r="H159" s="79">
        <f t="shared" ref="H159:H172" si="5">SUM(D159:G159)</f>
        <v>1000</v>
      </c>
      <c r="I159" s="60">
        <f>H159</f>
        <v>1000</v>
      </c>
      <c r="J159" s="77"/>
      <c r="K159" s="80"/>
    </row>
    <row r="160" spans="1:11" ht="15" customHeight="1" x14ac:dyDescent="0.25">
      <c r="A160" s="81" t="s">
        <v>197</v>
      </c>
      <c r="B160" s="74">
        <v>46140</v>
      </c>
      <c r="C160" s="82">
        <f>COUNTIF(E5:E154,"Wk 2 (28 Apr)")</f>
        <v>1</v>
      </c>
      <c r="D160" s="83">
        <f>SUMPRODUCT((E5:E154="Wk 2 (28 Apr)")*(G5:G154="Cash")*(F5:F154))</f>
        <v>1000</v>
      </c>
      <c r="E160" s="83">
        <f>SUMPRODUCT((E5:E154="Wk 2 (28 Apr)")*((G5:G154="MTN MoMo")+(G5:G154="Vodafone Cash")+(G5:G154="AirtelTigo Money"))*(F5:F154))</f>
        <v>0</v>
      </c>
      <c r="F160" s="83">
        <f>SUMPRODUCT((E5:E154="Wk 2 (28 Apr)")*(G5:G154="Bank Transfer")*(F5:F154))</f>
        <v>0</v>
      </c>
      <c r="G160" s="83">
        <f>SUMPRODUCT((E5:E154="Wk 2 (28 Apr)")*(G5:G154="Cheque")*(F5:F154))</f>
        <v>0</v>
      </c>
      <c r="H160" s="84">
        <f t="shared" si="5"/>
        <v>1000</v>
      </c>
      <c r="I160" s="65">
        <f t="shared" ref="I160:I172" si="6">I159+H160</f>
        <v>2000</v>
      </c>
      <c r="J160" s="82"/>
      <c r="K160" s="85"/>
    </row>
    <row r="161" spans="1:11" ht="15" customHeight="1" x14ac:dyDescent="0.25">
      <c r="A161" s="76" t="s">
        <v>198</v>
      </c>
      <c r="B161" s="72">
        <v>46147</v>
      </c>
      <c r="C161" s="77">
        <f>COUNTIF(E5:E154,"Wk 3 (05 May)")</f>
        <v>0</v>
      </c>
      <c r="D161" s="78">
        <f>SUMPRODUCT((E5:E154="Wk 3 (05 May)")*(G5:G154="Cash")*(F5:F154))</f>
        <v>0</v>
      </c>
      <c r="E161" s="78">
        <f>SUMPRODUCT((E5:E154="Wk 3 (05 May)")*((G5:G154="MTN MoMo")+(G5:G154="Vodafone Cash")+(G5:G154="AirtelTigo Money"))*(F5:F154))</f>
        <v>0</v>
      </c>
      <c r="F161" s="78">
        <f>SUMPRODUCT((E5:E154="Wk 3 (05 May)")*(G5:G154="Bank Transfer")*(F5:F154))</f>
        <v>0</v>
      </c>
      <c r="G161" s="78">
        <f>SUMPRODUCT((E5:E154="Wk 3 (05 May)")*(G5:G154="Cheque")*(F5:F154))</f>
        <v>0</v>
      </c>
      <c r="H161" s="79">
        <f t="shared" si="5"/>
        <v>0</v>
      </c>
      <c r="I161" s="60">
        <f t="shared" si="6"/>
        <v>2000</v>
      </c>
      <c r="J161" s="77"/>
      <c r="K161" s="80"/>
    </row>
    <row r="162" spans="1:11" ht="15" customHeight="1" x14ac:dyDescent="0.25">
      <c r="A162" s="81" t="s">
        <v>199</v>
      </c>
      <c r="B162" s="74">
        <v>46154</v>
      </c>
      <c r="C162" s="82">
        <f>COUNTIF(E5:E154,"Wk 4 (12 May)")</f>
        <v>0</v>
      </c>
      <c r="D162" s="83">
        <f>SUMPRODUCT((E5:E154="Wk 4 (12 May)")*(G5:G154="Cash")*(F5:F154))</f>
        <v>0</v>
      </c>
      <c r="E162" s="83">
        <f>SUMPRODUCT((E5:E154="Wk 4 (12 May)")*((G5:G154="MTN MoMo")+(G5:G154="Vodafone Cash")+(G5:G154="AirtelTigo Money"))*(F5:F154))</f>
        <v>0</v>
      </c>
      <c r="F162" s="83">
        <f>SUMPRODUCT((E5:E154="Wk 4 (12 May)")*(G5:G154="Bank Transfer")*(F5:F154))</f>
        <v>0</v>
      </c>
      <c r="G162" s="83">
        <f>SUMPRODUCT((E5:E154="Wk 4 (12 May)")*(G5:G154="Cheque")*(F5:F154))</f>
        <v>0</v>
      </c>
      <c r="H162" s="84">
        <f t="shared" si="5"/>
        <v>0</v>
      </c>
      <c r="I162" s="65">
        <f t="shared" si="6"/>
        <v>2000</v>
      </c>
      <c r="J162" s="82"/>
      <c r="K162" s="85"/>
    </row>
    <row r="163" spans="1:11" ht="15" customHeight="1" x14ac:dyDescent="0.25">
      <c r="A163" s="76" t="s">
        <v>200</v>
      </c>
      <c r="B163" s="72">
        <v>46161</v>
      </c>
      <c r="C163" s="77">
        <f>COUNTIF(E5:E154,"Wk 5 (19 May)")</f>
        <v>1</v>
      </c>
      <c r="D163" s="78">
        <f>SUMPRODUCT((E5:E154="Wk 5 (19 May)")*(G5:G154="Cash")*(F5:F154))</f>
        <v>0</v>
      </c>
      <c r="E163" s="78">
        <f>SUMPRODUCT((E5:E154="Wk 5 (19 May)")*((G5:G154="MTN MoMo")+(G5:G154="Vodafone Cash")+(G5:G154="AirtelTigo Money"))*(F5:F154))</f>
        <v>0</v>
      </c>
      <c r="F163" s="78">
        <f>SUMPRODUCT((E5:E154="Wk 5 (19 May)")*(G5:G154="Bank Transfer")*(F5:F154))</f>
        <v>2550</v>
      </c>
      <c r="G163" s="78">
        <f>SUMPRODUCT((E5:E154="Wk 5 (19 May)")*(G5:G154="Cheque")*(F5:F154))</f>
        <v>0</v>
      </c>
      <c r="H163" s="79">
        <f t="shared" si="5"/>
        <v>2550</v>
      </c>
      <c r="I163" s="60">
        <f t="shared" si="6"/>
        <v>4550</v>
      </c>
      <c r="J163" s="77"/>
      <c r="K163" s="80"/>
    </row>
    <row r="164" spans="1:11" ht="15" customHeight="1" x14ac:dyDescent="0.25">
      <c r="A164" s="81" t="s">
        <v>201</v>
      </c>
      <c r="B164" s="74">
        <v>46168</v>
      </c>
      <c r="C164" s="82">
        <f>COUNTIF(E5:E154,"Wk 6 (26 May)")</f>
        <v>2</v>
      </c>
      <c r="D164" s="83">
        <f>SUMPRODUCT((E5:E154="Wk 6 (26 May)")*(G5:G154="Cash")*(F5:F154))</f>
        <v>0</v>
      </c>
      <c r="E164" s="83">
        <f>SUMPRODUCT((E5:E154="Wk 6 (26 May)")*((G5:G154="MTN MoMo")+(G5:G154="Vodafone Cash")+(G5:G154="AirtelTigo Money"))*(F5:F154))</f>
        <v>1050</v>
      </c>
      <c r="F164" s="83">
        <f>SUMPRODUCT((E5:E154="Wk 6 (26 May)")*(G5:G154="Bank Transfer")*(F5:F154))</f>
        <v>1422.5</v>
      </c>
      <c r="G164" s="83">
        <f>SUMPRODUCT((E5:E154="Wk 6 (26 May)")*(G5:G154="Cheque")*(F5:F154))</f>
        <v>0</v>
      </c>
      <c r="H164" s="84">
        <f t="shared" si="5"/>
        <v>2472.5</v>
      </c>
      <c r="I164" s="65">
        <f t="shared" si="6"/>
        <v>7022.5</v>
      </c>
      <c r="J164" s="82"/>
      <c r="K164" s="85"/>
    </row>
    <row r="165" spans="1:11" ht="15" customHeight="1" x14ac:dyDescent="0.25">
      <c r="A165" s="76" t="s">
        <v>202</v>
      </c>
      <c r="B165" s="72">
        <v>46175</v>
      </c>
      <c r="C165" s="77">
        <f>COUNTIF(E5:E154,"Wk 7 (02 Jun)")</f>
        <v>0</v>
      </c>
      <c r="D165" s="78">
        <f>SUMPRODUCT((E5:E154="Wk 7 (02 Jun)")*(G5:G154="Cash")*(F5:F154))</f>
        <v>0</v>
      </c>
      <c r="E165" s="78">
        <f>SUMPRODUCT((E5:E154="Wk 7 (02 Jun)")*((G5:G154="MTN MoMo")+(G5:G154="Vodafone Cash")+(G5:G154="AirtelTigo Money"))*(F5:F154))</f>
        <v>0</v>
      </c>
      <c r="F165" s="78">
        <f>SUMPRODUCT((E5:E154="Wk 7 (02 Jun)")*(G5:G154="Bank Transfer")*(F5:F154))</f>
        <v>0</v>
      </c>
      <c r="G165" s="78">
        <f>SUMPRODUCT((E5:E154="Wk 7 (02 Jun)")*(G5:G154="Cheque")*(F5:F154))</f>
        <v>0</v>
      </c>
      <c r="H165" s="79">
        <f t="shared" si="5"/>
        <v>0</v>
      </c>
      <c r="I165" s="60">
        <f t="shared" si="6"/>
        <v>7022.5</v>
      </c>
      <c r="J165" s="77"/>
      <c r="K165" s="80"/>
    </row>
    <row r="166" spans="1:11" ht="15" customHeight="1" x14ac:dyDescent="0.25">
      <c r="A166" s="81" t="s">
        <v>203</v>
      </c>
      <c r="B166" s="74">
        <v>46182</v>
      </c>
      <c r="C166" s="82">
        <f>COUNTIF(E5:E154,"Wk 8 (09 Jun)")</f>
        <v>1</v>
      </c>
      <c r="D166" s="83">
        <f>SUMPRODUCT((E5:E154="Wk 8 (09 Jun)")*(G5:G154="Cash")*(F5:F154))</f>
        <v>1550</v>
      </c>
      <c r="E166" s="83">
        <f>SUMPRODUCT((E5:E154="Wk 8 (09 Jun)")*((G5:G154="MTN MoMo")+(G5:G154="Vodafone Cash")+(G5:G154="AirtelTigo Money"))*(F5:F154))</f>
        <v>0</v>
      </c>
      <c r="F166" s="83">
        <f>SUMPRODUCT((E5:E154="Wk 8 (09 Jun)")*(G5:G154="Bank Transfer")*(F5:F154))</f>
        <v>0</v>
      </c>
      <c r="G166" s="83">
        <f>SUMPRODUCT((E5:E154="Wk 8 (09 Jun)")*(G5:G154="Cheque")*(F5:F154))</f>
        <v>0</v>
      </c>
      <c r="H166" s="84">
        <f t="shared" si="5"/>
        <v>1550</v>
      </c>
      <c r="I166" s="65">
        <f t="shared" si="6"/>
        <v>8572.5</v>
      </c>
      <c r="J166" s="82"/>
      <c r="K166" s="85"/>
    </row>
    <row r="167" spans="1:11" ht="15" customHeight="1" x14ac:dyDescent="0.25">
      <c r="A167" s="76" t="s">
        <v>204</v>
      </c>
      <c r="B167" s="72">
        <v>46189</v>
      </c>
      <c r="C167" s="77">
        <f>COUNTIF(E5:E154,"Wk 9 (16 Jun)")</f>
        <v>1</v>
      </c>
      <c r="D167" s="78">
        <f>SUMPRODUCT((E5:E154="Wk 9 (16 Jun)")*(G5:G154="Cash")*(F5:F154))</f>
        <v>0</v>
      </c>
      <c r="E167" s="78">
        <f>SUMPRODUCT((E5:E154="Wk 9 (16 Jun)")*((G5:G154="MTN MoMo")+(G5:G154="Vodafone Cash")+(G5:G154="AirtelTigo Money"))*(F5:F154))</f>
        <v>1000</v>
      </c>
      <c r="F167" s="78">
        <f>SUMPRODUCT((E5:E154="Wk 9 (16 Jun)")*(G5:G154="Bank Transfer")*(F5:F154))</f>
        <v>0</v>
      </c>
      <c r="G167" s="78">
        <f>SUMPRODUCT((E5:E154="Wk 9 (16 Jun)")*(G5:G154="Cheque")*(F5:F154))</f>
        <v>0</v>
      </c>
      <c r="H167" s="79">
        <f t="shared" si="5"/>
        <v>1000</v>
      </c>
      <c r="I167" s="60">
        <f t="shared" si="6"/>
        <v>9572.5</v>
      </c>
      <c r="J167" s="77"/>
      <c r="K167" s="80"/>
    </row>
    <row r="168" spans="1:11" ht="21.75" customHeight="1" x14ac:dyDescent="0.25">
      <c r="A168" s="81" t="s">
        <v>205</v>
      </c>
      <c r="B168" s="74">
        <v>46196</v>
      </c>
      <c r="C168" s="82">
        <f>COUNTIF(E5:E154,"Wk 10 (23 Jun)")</f>
        <v>0</v>
      </c>
      <c r="D168" s="83">
        <f>SUMPRODUCT((E5:E154="Wk 10 (23 Jun)")*(G5:G154="Cash")*(F5:F154))</f>
        <v>0</v>
      </c>
      <c r="E168" s="83">
        <f>SUMPRODUCT((E5:E154="Wk 10 (23 Jun)")*((G5:G154="MTN MoMo")+(G5:G154="Vodafone Cash")+(G5:G154="AirtelTigo Money"))*(F5:F154))</f>
        <v>0</v>
      </c>
      <c r="F168" s="83">
        <f>SUMPRODUCT((E5:E154="Wk 10 (23 Jun)")*(G5:G154="Bank Transfer")*(F5:F154))</f>
        <v>0</v>
      </c>
      <c r="G168" s="83">
        <f>SUMPRODUCT((E5:E154="Wk 10 (23 Jun)")*(G5:G154="Cheque")*(F5:F154))</f>
        <v>0</v>
      </c>
      <c r="H168" s="84">
        <f t="shared" si="5"/>
        <v>0</v>
      </c>
      <c r="I168" s="65">
        <f t="shared" si="6"/>
        <v>9572.5</v>
      </c>
      <c r="J168" s="82"/>
      <c r="K168" s="85"/>
    </row>
    <row r="169" spans="1:11" ht="21.75" customHeight="1" x14ac:dyDescent="0.25">
      <c r="A169" s="76" t="s">
        <v>206</v>
      </c>
      <c r="B169" s="72">
        <v>46203</v>
      </c>
      <c r="C169" s="77">
        <f>COUNTIF(E5:E154,"Wk 11 (30 Jun)")</f>
        <v>0</v>
      </c>
      <c r="D169" s="78">
        <f>SUMPRODUCT((E5:E154="Wk 11 (30 Jun)")*(G5:G154="Cash")*(F5:F154))</f>
        <v>0</v>
      </c>
      <c r="E169" s="78">
        <f>SUMPRODUCT((E5:E154="Wk 11 (30 Jun)")*((G5:G154="MTN MoMo")+(G5:G154="Vodafone Cash")+(G5:G154="AirtelTigo Money"))*(F5:F154))</f>
        <v>0</v>
      </c>
      <c r="F169" s="78">
        <f>SUMPRODUCT((E5:E154="Wk 11 (30 Jun)")*(G5:G154="Bank Transfer")*(F5:F154))</f>
        <v>0</v>
      </c>
      <c r="G169" s="78">
        <f>SUMPRODUCT((E5:E154="Wk 11 (30 Jun)")*(G5:G154="Cheque")*(F5:F154))</f>
        <v>0</v>
      </c>
      <c r="H169" s="79">
        <f t="shared" si="5"/>
        <v>0</v>
      </c>
      <c r="I169" s="60">
        <f t="shared" si="6"/>
        <v>9572.5</v>
      </c>
      <c r="J169" s="77"/>
      <c r="K169" s="80"/>
    </row>
    <row r="170" spans="1:11" ht="18.75" customHeight="1" x14ac:dyDescent="0.25">
      <c r="A170" s="81" t="s">
        <v>207</v>
      </c>
      <c r="B170" s="74">
        <v>46210</v>
      </c>
      <c r="C170" s="82">
        <f>COUNTIF(E5:E154,"Wk 12 (07 Jul)")</f>
        <v>0</v>
      </c>
      <c r="D170" s="83">
        <f>SUMPRODUCT((E5:E154="Wk 12 (07 Jul)")*(G5:G154="Cash")*(F5:F154))</f>
        <v>0</v>
      </c>
      <c r="E170" s="83">
        <f>SUMPRODUCT((E5:E154="Wk 12 (07 Jul)")*((G5:G154="MTN MoMo")+(G5:G154="Vodafone Cash")+(G5:G154="AirtelTigo Money"))*(F5:F154))</f>
        <v>0</v>
      </c>
      <c r="F170" s="83">
        <f>SUMPRODUCT((E5:E154="Wk 12 (07 Jul)")*(G5:G154="Bank Transfer")*(F5:F154))</f>
        <v>0</v>
      </c>
      <c r="G170" s="83">
        <f>SUMPRODUCT((E5:E154="Wk 12 (07 Jul)")*(G5:G154="Cheque")*(F5:F154))</f>
        <v>0</v>
      </c>
      <c r="H170" s="84">
        <f t="shared" si="5"/>
        <v>0</v>
      </c>
      <c r="I170" s="65">
        <f t="shared" si="6"/>
        <v>9572.5</v>
      </c>
      <c r="J170" s="86" t="s">
        <v>208</v>
      </c>
      <c r="K170" s="85"/>
    </row>
    <row r="171" spans="1:11" ht="18.75" customHeight="1" x14ac:dyDescent="0.25">
      <c r="A171" s="76" t="s">
        <v>209</v>
      </c>
      <c r="B171" s="72">
        <v>46217</v>
      </c>
      <c r="C171" s="77">
        <f>COUNTIF(E5:E154,"Wk 13 (14 Jul)")</f>
        <v>1</v>
      </c>
      <c r="D171" s="78">
        <f>SUMPRODUCT((E5:E154="Wk 13 (14 Jul)")*(G5:G154="Cash")*(F5:F154))</f>
        <v>0</v>
      </c>
      <c r="E171" s="78">
        <f>SUMPRODUCT((E5:E154="Wk 13 (14 Jul)")*((G5:G154="MTN MoMo")+(G5:G154="Vodafone Cash")+(G5:G154="AirtelTigo Money"))*(F5:F154))</f>
        <v>500</v>
      </c>
      <c r="F171" s="78">
        <f>SUMPRODUCT((E5:E154="Wk 13 (14 Jul)")*(G5:G154="Bank Transfer")*(F5:F154))</f>
        <v>0</v>
      </c>
      <c r="G171" s="78">
        <f>SUMPRODUCT((E5:E154="Wk 13 (14 Jul)")*(G5:G154="Cheque")*(F5:F154))</f>
        <v>0</v>
      </c>
      <c r="H171" s="79">
        <f t="shared" si="5"/>
        <v>500</v>
      </c>
      <c r="I171" s="60">
        <f t="shared" si="6"/>
        <v>10072.5</v>
      </c>
      <c r="J171" s="87" t="s">
        <v>208</v>
      </c>
      <c r="K171" s="80"/>
    </row>
    <row r="172" spans="1:11" ht="18.75" customHeight="1" x14ac:dyDescent="0.25">
      <c r="A172" s="81" t="s">
        <v>210</v>
      </c>
      <c r="B172" s="74">
        <v>46224</v>
      </c>
      <c r="C172" s="82">
        <f>COUNTIF(E5:E154,"Wk 14 (21 Jul)")</f>
        <v>0</v>
      </c>
      <c r="D172" s="83">
        <f>SUMPRODUCT((E5:E154="Wk 14 (21 Jul)")*(G5:G154="Cash")*(F5:F154))</f>
        <v>0</v>
      </c>
      <c r="E172" s="83">
        <f>SUMPRODUCT((E5:E154="Wk 14 (21 Jul)")*((G5:G154="MTN MoMo")+(G5:G154="Vodafone Cash")+(G5:G154="AirtelTigo Money"))*(F5:F154))</f>
        <v>0</v>
      </c>
      <c r="F172" s="83">
        <f>SUMPRODUCT((E5:E154="Wk 14 (21 Jul)")*(G5:G154="Bank Transfer")*(F5:F154))</f>
        <v>0</v>
      </c>
      <c r="G172" s="83">
        <f>SUMPRODUCT((E5:E154="Wk 14 (21 Jul)")*(G5:G154="Cheque")*(F5:F154))</f>
        <v>0</v>
      </c>
      <c r="H172" s="84">
        <f t="shared" si="5"/>
        <v>0</v>
      </c>
      <c r="I172" s="65">
        <f t="shared" si="6"/>
        <v>10072.5</v>
      </c>
      <c r="J172" s="86" t="s">
        <v>208</v>
      </c>
      <c r="K172" s="85"/>
    </row>
    <row r="173" spans="1:11" ht="15" customHeight="1" x14ac:dyDescent="0.25">
      <c r="A173" s="28" t="s">
        <v>211</v>
      </c>
      <c r="B173" s="28"/>
      <c r="C173" s="88">
        <f t="shared" ref="C173:H173" si="7">SUM(C159:C172)</f>
        <v>9</v>
      </c>
      <c r="D173" s="29">
        <f t="shared" si="7"/>
        <v>2550</v>
      </c>
      <c r="E173" s="29">
        <f t="shared" si="7"/>
        <v>2550</v>
      </c>
      <c r="F173" s="29">
        <f t="shared" si="7"/>
        <v>4972.5</v>
      </c>
      <c r="G173" s="29">
        <f t="shared" si="7"/>
        <v>0</v>
      </c>
      <c r="H173" s="29">
        <f t="shared" si="7"/>
        <v>10072.5</v>
      </c>
      <c r="I173" s="28"/>
      <c r="J173" s="28"/>
      <c r="K173" s="28"/>
    </row>
    <row r="176" spans="1:11" ht="15" customHeight="1" x14ac:dyDescent="0.25">
      <c r="A176" s="138" t="s">
        <v>212</v>
      </c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</row>
    <row r="177" spans="1:11" ht="23.25" customHeight="1" x14ac:dyDescent="0.25">
      <c r="A177" s="8" t="s">
        <v>213</v>
      </c>
      <c r="B177" s="8" t="s">
        <v>214</v>
      </c>
      <c r="C177" s="8" t="s">
        <v>189</v>
      </c>
      <c r="D177" s="8" t="s">
        <v>190</v>
      </c>
      <c r="E177" s="8" t="s">
        <v>191</v>
      </c>
      <c r="F177" s="8" t="s">
        <v>192</v>
      </c>
      <c r="G177" s="8" t="s">
        <v>215</v>
      </c>
      <c r="H177" s="8" t="s">
        <v>194</v>
      </c>
      <c r="I177" s="8" t="s">
        <v>216</v>
      </c>
      <c r="J177" s="8" t="s">
        <v>217</v>
      </c>
      <c r="K177" s="8" t="s">
        <v>36</v>
      </c>
    </row>
    <row r="178" spans="1:11" ht="15" customHeight="1" x14ac:dyDescent="0.25">
      <c r="A178" s="89" t="s">
        <v>218</v>
      </c>
      <c r="B178" s="90">
        <f>SUMPRODUCT((MONTH(A5:A154)=4)*(A5:A154&lt;&gt;""))</f>
        <v>3</v>
      </c>
      <c r="C178" s="78">
        <f>SUMPRODUCT((MONTH(A5:A154)=4)*(G5:G154="Cash")*(F5:F154))</f>
        <v>1000</v>
      </c>
      <c r="D178" s="78">
        <f>SUMPRODUCT((MONTH(A5:A154)=4)*((G5:G154="MTN MoMo")+(G5:G154="Vodafone Cash")+(G5:G154="AirtelTigo Money"))*(F5:F154))</f>
        <v>0</v>
      </c>
      <c r="E178" s="78">
        <f>SUMPRODUCT((MONTH(A5:A154)=4)*(G5:G154="Bank Transfer")*(F5:F154))</f>
        <v>1000</v>
      </c>
      <c r="F178" s="78">
        <f>SUMPRODUCT((MONTH(A5:A154)=4)*(G5:G154="Cheque")*(F5:F154))</f>
        <v>0</v>
      </c>
      <c r="G178" s="79">
        <f>SUM(C178:F178)</f>
        <v>2000</v>
      </c>
      <c r="H178" s="60">
        <f>G178</f>
        <v>2000</v>
      </c>
      <c r="I178" s="91">
        <v>0.3</v>
      </c>
      <c r="J178" s="78"/>
      <c r="K178" s="92"/>
    </row>
    <row r="179" spans="1:11" ht="15" customHeight="1" x14ac:dyDescent="0.25">
      <c r="A179" s="93" t="s">
        <v>219</v>
      </c>
      <c r="B179" s="94">
        <f>SUMPRODUCT((MONTH(A5:A154)=5)*(A5:A154&lt;&gt;""))</f>
        <v>3</v>
      </c>
      <c r="C179" s="83">
        <f>SUMPRODUCT((MONTH(A5:A154)=5)*(G5:G154="Cash")*(F5:F154))</f>
        <v>0</v>
      </c>
      <c r="D179" s="83">
        <f>SUMPRODUCT((MONTH(A5:A154)=5)*((G5:G154="MTN MoMo")+(G5:G154="Vodafone Cash")+(G5:G154="AirtelTigo Money"))*(F5:F154))</f>
        <v>1050</v>
      </c>
      <c r="E179" s="83">
        <f>SUMPRODUCT((MONTH(A5:A154)=5)*(G5:G154="Bank Transfer")*(F5:F154))</f>
        <v>3972.5</v>
      </c>
      <c r="F179" s="83">
        <f>SUMPRODUCT((MONTH(A5:A154)=5)*(G5:G154="Cheque")*(F5:F154))</f>
        <v>0</v>
      </c>
      <c r="G179" s="84">
        <f>SUM(C179:F179)</f>
        <v>5022.5</v>
      </c>
      <c r="H179" s="65">
        <f>H178+G179</f>
        <v>7022.5</v>
      </c>
      <c r="I179" s="95">
        <v>0.65</v>
      </c>
      <c r="J179" s="83"/>
      <c r="K179" s="96"/>
    </row>
    <row r="180" spans="1:11" ht="15" customHeight="1" x14ac:dyDescent="0.25">
      <c r="A180" s="89" t="s">
        <v>220</v>
      </c>
      <c r="B180" s="90">
        <f>SUMPRODUCT((MONTH(A5:A154)=6)*(A5:A154&lt;&gt;""))</f>
        <v>2</v>
      </c>
      <c r="C180" s="78">
        <f>SUMPRODUCT((MONTH(A5:A154)=6)*(G5:G154="Cash")*(F5:F154))</f>
        <v>1550</v>
      </c>
      <c r="D180" s="78">
        <f>SUMPRODUCT((MONTH(A5:A154)=6)*((G5:G154="MTN MoMo")+(G5:G154="Vodafone Cash")+(G5:G154="AirtelTigo Money"))*(F5:F154))</f>
        <v>1000</v>
      </c>
      <c r="E180" s="78">
        <f>SUMPRODUCT((MONTH(A5:A154)=6)*(G5:G154="Bank Transfer")*(F5:F154))</f>
        <v>0</v>
      </c>
      <c r="F180" s="78">
        <f>SUMPRODUCT((MONTH(A5:A154)=6)*(G5:G154="Cheque")*(F5:F154))</f>
        <v>0</v>
      </c>
      <c r="G180" s="79">
        <f>SUM(C180:F180)</f>
        <v>2550</v>
      </c>
      <c r="H180" s="60">
        <f>H179+G180</f>
        <v>9572.5</v>
      </c>
      <c r="I180" s="91">
        <v>1</v>
      </c>
      <c r="J180" s="78"/>
      <c r="K180" s="92"/>
    </row>
    <row r="181" spans="1:11" ht="15" customHeight="1" x14ac:dyDescent="0.25">
      <c r="A181" s="93" t="s">
        <v>221</v>
      </c>
      <c r="B181" s="94">
        <f>SUMPRODUCT((MONTH(A5:A154)=7)*(A5:A154&lt;&gt;""))</f>
        <v>1</v>
      </c>
      <c r="C181" s="83">
        <f>SUMPRODUCT((MONTH(A5:A154)=7)*(G5:G154="Cash")*(F5:F154))</f>
        <v>0</v>
      </c>
      <c r="D181" s="83">
        <f>SUMPRODUCT((MONTH(A5:A154)=7)*((G5:G154="MTN MoMo")+(G5:G154="Vodafone Cash")+(G5:G154="AirtelTigo Money"))*(F5:F154))</f>
        <v>500</v>
      </c>
      <c r="E181" s="83">
        <f>SUMPRODUCT((MONTH(A5:A154)=7)*(G5:G154="Bank Transfer")*(F5:F154))</f>
        <v>0</v>
      </c>
      <c r="F181" s="83">
        <f>SUMPRODUCT((MONTH(A5:A154)=7)*(G5:G154="Cheque")*(F5:F154))</f>
        <v>0</v>
      </c>
      <c r="G181" s="84">
        <f>SUM(C181:F181)</f>
        <v>500</v>
      </c>
      <c r="H181" s="65">
        <f>H180+G181</f>
        <v>10072.5</v>
      </c>
      <c r="I181" s="95">
        <v>1</v>
      </c>
      <c r="J181" s="83"/>
      <c r="K181" s="96"/>
    </row>
    <row r="182" spans="1:11" ht="15" customHeight="1" x14ac:dyDescent="0.25">
      <c r="A182" s="28" t="s">
        <v>222</v>
      </c>
      <c r="B182" s="88">
        <f t="shared" ref="B182:G182" si="8">SUM(B178:B181)</f>
        <v>9</v>
      </c>
      <c r="C182" s="29">
        <f t="shared" si="8"/>
        <v>2550</v>
      </c>
      <c r="D182" s="29">
        <f t="shared" si="8"/>
        <v>2550</v>
      </c>
      <c r="E182" s="29">
        <f t="shared" si="8"/>
        <v>4972.5</v>
      </c>
      <c r="F182" s="29">
        <f t="shared" si="8"/>
        <v>0</v>
      </c>
      <c r="G182" s="29">
        <f t="shared" si="8"/>
        <v>10072.5</v>
      </c>
      <c r="H182" s="28"/>
      <c r="I182" s="28"/>
      <c r="J182" s="28"/>
      <c r="K182" s="28"/>
    </row>
  </sheetData>
  <mergeCells count="7">
    <mergeCell ref="A157:K157"/>
    <mergeCell ref="A176:K176"/>
    <mergeCell ref="A1:K1"/>
    <mergeCell ref="A2:K2"/>
    <mergeCell ref="A3:F3"/>
    <mergeCell ref="G3:I3"/>
    <mergeCell ref="J3:K3"/>
  </mergeCells>
  <dataValidations count="6">
    <dataValidation type="list" allowBlank="1" showInputMessage="1" promptTitle="Pupil Name" prompt="Select the pupil making the payment" sqref="C5:C154" xr:uid="{00000000-0002-0000-0900-000000000000}">
      <formula1>$P$1:$P$13</formula1>
      <formula2>0</formula2>
    </dataValidation>
    <dataValidation type="list" allowBlank="1" showInputMessage="1" promptTitle="Week" prompt="Select the week of payment" sqref="E5:E154" xr:uid="{00000000-0002-0000-0900-000001000000}">
      <formula1>"Wk 1 (21 Apr),Wk 2 (28 Apr),Wk 3 (05 May),Wk 4 (12 May),Wk 5 (19 May),Wk 6 (26 May),Wk 7 (02 Jun),Wk 8 (09 Jun),Wk 9 (16 Jun),Wk 10 (23 Jun),Wk 11 (30 Jun),Wk 12 (07 Jul),Wk 13 (14 Jul),Wk 14 (21 Jul)"</formula1>
      <formula2>0</formula2>
    </dataValidation>
    <dataValidation type="list" allowBlank="1" sqref="G5:G154" xr:uid="{00000000-0002-0000-0900-000002000000}">
      <formula1>"Cash,MTN MoMo,Vodafone Cash,AirtelTigo Money,Bank Transfer,Cheque"</formula1>
      <formula2>0</formula2>
    </dataValidation>
    <dataValidation type="list" allowBlank="1" sqref="D5:D154" xr:uid="{00000000-0002-0000-0900-000003000000}">
      <formula1>"Term 3,Term 2 Arrears,Term 1 Arrears"</formula1>
      <formula2>0</formula2>
    </dataValidation>
    <dataValidation type="list" allowBlank="1" sqref="J5:J154" xr:uid="{00000000-0002-0000-0900-000004000000}">
      <formula1>"Yes,No,Pending"</formula1>
      <formula2>0</formula2>
    </dataValidation>
    <dataValidation type="list" allowBlank="1" sqref="H5:H154" xr:uid="{00000000-0002-0000-0900-000005000000}">
      <formula1>"Dorcas Matilda Akosua Kusi,Hannah Ayorkor Laryea,Other"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B8FA8"/>
  </sheetPr>
  <dimension ref="A1:Q19"/>
  <sheetViews>
    <sheetView zoomScaleNormal="100" workbookViewId="0">
      <pane xSplit="2" ySplit="4" topLeftCell="I10" activePane="bottomRight" state="frozen"/>
      <selection pane="topRight" activeCell="C1" sqref="C1"/>
      <selection pane="bottomLeft" activeCell="A5" sqref="A5"/>
      <selection pane="bottomRight" activeCell="N26" sqref="N26"/>
    </sheetView>
  </sheetViews>
  <sheetFormatPr defaultColWidth="8.7109375" defaultRowHeight="15" x14ac:dyDescent="0.25"/>
  <cols>
    <col min="1" max="1" width="5" customWidth="1"/>
    <col min="2" max="2" width="36" customWidth="1"/>
    <col min="3" max="3" width="14" customWidth="1"/>
    <col min="4" max="16" width="13" customWidth="1"/>
    <col min="17" max="17" width="45" customWidth="1"/>
  </cols>
  <sheetData>
    <row r="1" spans="1:17" ht="25.5" customHeight="1" x14ac:dyDescent="0.25">
      <c r="A1" s="140" t="s">
        <v>280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</row>
    <row r="3" spans="1:17" ht="15" customHeight="1" x14ac:dyDescent="0.25">
      <c r="A3" s="120" t="s">
        <v>149</v>
      </c>
      <c r="B3" s="120"/>
      <c r="C3" s="120"/>
      <c r="D3" s="121" t="s">
        <v>150</v>
      </c>
      <c r="E3" s="121"/>
      <c r="F3" s="121"/>
      <c r="G3" s="121"/>
      <c r="H3" s="122" t="s">
        <v>151</v>
      </c>
      <c r="I3" s="122"/>
      <c r="J3" s="122"/>
      <c r="K3" s="122"/>
      <c r="L3" s="122"/>
      <c r="M3" s="123" t="s">
        <v>263</v>
      </c>
      <c r="N3" s="123"/>
      <c r="O3" s="123"/>
      <c r="P3" s="123"/>
      <c r="Q3" s="32" t="s">
        <v>153</v>
      </c>
    </row>
    <row r="4" spans="1:17" ht="27.75" customHeight="1" x14ac:dyDescent="0.25">
      <c r="A4" s="6" t="s">
        <v>87</v>
      </c>
      <c r="B4" s="6" t="s">
        <v>88</v>
      </c>
      <c r="C4" s="6" t="s">
        <v>33</v>
      </c>
      <c r="D4" s="5" t="s">
        <v>154</v>
      </c>
      <c r="E4" s="5" t="s">
        <v>155</v>
      </c>
      <c r="F4" s="5" t="s">
        <v>72</v>
      </c>
      <c r="G4" s="5" t="s">
        <v>73</v>
      </c>
      <c r="H4" s="4" t="s">
        <v>156</v>
      </c>
      <c r="I4" s="4" t="s">
        <v>157</v>
      </c>
      <c r="J4" s="4" t="s">
        <v>76</v>
      </c>
      <c r="K4" s="4" t="s">
        <v>77</v>
      </c>
      <c r="L4" s="4" t="s">
        <v>78</v>
      </c>
      <c r="M4" s="3" t="s">
        <v>80</v>
      </c>
      <c r="N4" s="3" t="s">
        <v>81</v>
      </c>
      <c r="O4" s="3" t="s">
        <v>158</v>
      </c>
      <c r="P4" s="3" t="s">
        <v>159</v>
      </c>
      <c r="Q4" s="32" t="s">
        <v>160</v>
      </c>
    </row>
    <row r="5" spans="1:17" ht="30.6" customHeight="1" x14ac:dyDescent="0.25">
      <c r="A5" s="57">
        <v>1</v>
      </c>
      <c r="B5" s="58" t="s">
        <v>114</v>
      </c>
      <c r="C5" s="57" t="s">
        <v>98</v>
      </c>
      <c r="D5" s="59">
        <v>2422.5</v>
      </c>
      <c r="E5" s="59"/>
      <c r="F5" s="59"/>
      <c r="G5" s="59">
        <f t="shared" ref="G5:G14" si="0">IF(B5="","",IF(D5="",0,D5)+IF(E5="",0,E5)-IF(F5="",0,F5))</f>
        <v>2422.5</v>
      </c>
      <c r="H5" s="59">
        <v>2550</v>
      </c>
      <c r="I5" s="59">
        <v>922.5</v>
      </c>
      <c r="J5" s="59">
        <v>127.5</v>
      </c>
      <c r="K5" s="59">
        <v>2422.5</v>
      </c>
      <c r="L5" s="59">
        <f t="shared" ref="L5:L14" si="1">IF(B5="","",IF(H5="",0,H5)+IF(I5="",0,I5)-IF(J5="",0,J5)-IF(K5="",0,K5))</f>
        <v>922.5</v>
      </c>
      <c r="M5" s="59">
        <v>2550</v>
      </c>
      <c r="N5" s="59">
        <v>127.5</v>
      </c>
      <c r="O5" s="59">
        <f>SUMIF('KG 2 - Payments'!C5:C154,B5,'KG 2 - Payments'!F5:F154)</f>
        <v>3022.5</v>
      </c>
      <c r="P5" s="60">
        <f t="shared" ref="P5:P14" si="2">IF(B5="","",IF(M5="",0,M5)-IF(N5="",0,N5)+IF(L5&lt;0,0,IF(L5="",0,L5))-IF(O5="",0,O5))</f>
        <v>322.5</v>
      </c>
      <c r="Q5" s="61" t="s">
        <v>281</v>
      </c>
    </row>
    <row r="6" spans="1:17" ht="15" customHeight="1" x14ac:dyDescent="0.25">
      <c r="A6" s="62">
        <v>2</v>
      </c>
      <c r="B6" s="63" t="s">
        <v>133</v>
      </c>
      <c r="C6" s="62"/>
      <c r="D6" s="64">
        <v>3080</v>
      </c>
      <c r="E6" s="64"/>
      <c r="F6" s="64">
        <v>3000</v>
      </c>
      <c r="G6" s="64">
        <f t="shared" si="0"/>
        <v>80</v>
      </c>
      <c r="H6" s="64">
        <v>3050</v>
      </c>
      <c r="I6" s="64">
        <v>80</v>
      </c>
      <c r="J6" s="64"/>
      <c r="K6" s="64">
        <v>3000</v>
      </c>
      <c r="L6" s="64">
        <f t="shared" si="1"/>
        <v>130</v>
      </c>
      <c r="M6" s="64">
        <v>3050</v>
      </c>
      <c r="N6" s="64"/>
      <c r="O6" s="64">
        <f>SUMIF('KG 2 - Payments'!C5:C154,B6,'KG 2 - Payments'!F5:F154)</f>
        <v>3180</v>
      </c>
      <c r="P6" s="65">
        <f t="shared" si="2"/>
        <v>0</v>
      </c>
      <c r="Q6" s="66" t="s">
        <v>282</v>
      </c>
    </row>
    <row r="7" spans="1:17" ht="15" customHeight="1" x14ac:dyDescent="0.25">
      <c r="A7" s="57">
        <v>3</v>
      </c>
      <c r="B7" s="58" t="s">
        <v>283</v>
      </c>
      <c r="C7" s="57"/>
      <c r="D7" s="59">
        <v>2750</v>
      </c>
      <c r="E7" s="59"/>
      <c r="F7" s="59">
        <v>2750</v>
      </c>
      <c r="G7" s="59">
        <f t="shared" si="0"/>
        <v>0</v>
      </c>
      <c r="H7" s="59">
        <v>2550</v>
      </c>
      <c r="I7" s="59"/>
      <c r="J7" s="59"/>
      <c r="K7" s="59">
        <v>2550</v>
      </c>
      <c r="L7" s="59">
        <f t="shared" si="1"/>
        <v>0</v>
      </c>
      <c r="M7" s="59">
        <v>2550</v>
      </c>
      <c r="N7" s="59"/>
      <c r="O7" s="59">
        <f>SUMIF('KG 2 - Payments'!C5:C154,B7,'KG 2 - Payments'!F5:F154)</f>
        <v>2550</v>
      </c>
      <c r="P7" s="60">
        <f t="shared" si="2"/>
        <v>0</v>
      </c>
      <c r="Q7" s="61"/>
    </row>
    <row r="8" spans="1:17" ht="15" customHeight="1" x14ac:dyDescent="0.25">
      <c r="A8" s="57">
        <v>4</v>
      </c>
      <c r="B8" s="58" t="s">
        <v>264</v>
      </c>
      <c r="C8" s="57" t="s">
        <v>48</v>
      </c>
      <c r="D8" s="59">
        <v>850</v>
      </c>
      <c r="E8" s="59"/>
      <c r="F8" s="59">
        <v>850</v>
      </c>
      <c r="G8" s="59">
        <f t="shared" si="0"/>
        <v>0</v>
      </c>
      <c r="H8" s="59">
        <v>2550</v>
      </c>
      <c r="I8" s="59"/>
      <c r="J8" s="59">
        <v>2550</v>
      </c>
      <c r="K8" s="59"/>
      <c r="L8" s="59">
        <f t="shared" si="1"/>
        <v>0</v>
      </c>
      <c r="M8" s="59">
        <v>2550</v>
      </c>
      <c r="N8" s="59">
        <v>2550</v>
      </c>
      <c r="O8" s="59">
        <f>SUMIF('KG 1 - Payments'!C5:C154,B8,'KG 1 - Payments'!F5:F154)</f>
        <v>0</v>
      </c>
      <c r="P8" s="60">
        <f t="shared" si="2"/>
        <v>0</v>
      </c>
      <c r="Q8" s="61" t="s">
        <v>243</v>
      </c>
    </row>
    <row r="9" spans="1:17" ht="15" customHeight="1" x14ac:dyDescent="0.25">
      <c r="A9" s="62">
        <v>5</v>
      </c>
      <c r="B9" s="63" t="s">
        <v>116</v>
      </c>
      <c r="C9" s="62" t="s">
        <v>98</v>
      </c>
      <c r="D9" s="64">
        <v>2422.5</v>
      </c>
      <c r="E9" s="64"/>
      <c r="F9" s="64">
        <v>1800</v>
      </c>
      <c r="G9" s="64">
        <f t="shared" si="0"/>
        <v>622.5</v>
      </c>
      <c r="H9" s="64">
        <v>2550</v>
      </c>
      <c r="I9" s="64"/>
      <c r="J9" s="64">
        <v>127.5</v>
      </c>
      <c r="K9" s="64">
        <v>1550</v>
      </c>
      <c r="L9" s="64">
        <v>0</v>
      </c>
      <c r="M9" s="64">
        <v>2550</v>
      </c>
      <c r="N9" s="64">
        <v>127.5</v>
      </c>
      <c r="O9" s="64">
        <f>1500+922.5</f>
        <v>2422.5</v>
      </c>
      <c r="P9" s="65">
        <f t="shared" si="2"/>
        <v>0</v>
      </c>
      <c r="Q9" s="66" t="s">
        <v>267</v>
      </c>
    </row>
    <row r="10" spans="1:17" ht="15" customHeight="1" x14ac:dyDescent="0.25">
      <c r="A10" s="57">
        <v>6</v>
      </c>
      <c r="B10" s="58" t="s">
        <v>266</v>
      </c>
      <c r="C10" s="57"/>
      <c r="D10" s="59">
        <v>2550</v>
      </c>
      <c r="E10" s="59"/>
      <c r="F10" s="59">
        <v>2550</v>
      </c>
      <c r="G10" s="59">
        <f t="shared" si="0"/>
        <v>0</v>
      </c>
      <c r="H10" s="59">
        <v>2550</v>
      </c>
      <c r="I10" s="59"/>
      <c r="J10" s="59"/>
      <c r="K10" s="59">
        <v>2550</v>
      </c>
      <c r="L10" s="59">
        <f t="shared" si="1"/>
        <v>0</v>
      </c>
      <c r="M10" s="59">
        <v>2550</v>
      </c>
      <c r="N10" s="59"/>
      <c r="O10" s="59">
        <v>2550</v>
      </c>
      <c r="P10" s="60">
        <f t="shared" si="2"/>
        <v>0</v>
      </c>
      <c r="Q10" s="61"/>
    </row>
    <row r="11" spans="1:17" ht="15" customHeight="1" x14ac:dyDescent="0.25">
      <c r="A11" s="57">
        <v>7</v>
      </c>
      <c r="B11" s="58" t="s">
        <v>129</v>
      </c>
      <c r="C11" s="57"/>
      <c r="D11" s="59">
        <v>2550</v>
      </c>
      <c r="E11" s="59"/>
      <c r="F11" s="59">
        <v>1500</v>
      </c>
      <c r="G11" s="59">
        <f t="shared" si="0"/>
        <v>1050</v>
      </c>
      <c r="H11" s="59">
        <v>2550</v>
      </c>
      <c r="I11" s="59"/>
      <c r="J11" s="59"/>
      <c r="K11" s="59">
        <v>2200</v>
      </c>
      <c r="L11" s="59">
        <f t="shared" si="1"/>
        <v>350</v>
      </c>
      <c r="M11" s="59">
        <v>2550</v>
      </c>
      <c r="N11" s="59"/>
      <c r="O11" s="59">
        <v>2282.5</v>
      </c>
      <c r="P11" s="60">
        <f t="shared" si="2"/>
        <v>617.5</v>
      </c>
      <c r="Q11" s="61" t="s">
        <v>268</v>
      </c>
    </row>
    <row r="12" spans="1:17" ht="30.95" customHeight="1" x14ac:dyDescent="0.25">
      <c r="A12" s="57">
        <v>8</v>
      </c>
      <c r="B12" s="58" t="s">
        <v>95</v>
      </c>
      <c r="C12" s="57"/>
      <c r="D12" s="59">
        <v>2550</v>
      </c>
      <c r="E12" s="59">
        <v>3110</v>
      </c>
      <c r="F12" s="59">
        <v>2500</v>
      </c>
      <c r="G12" s="59">
        <f t="shared" si="0"/>
        <v>3160</v>
      </c>
      <c r="H12" s="59">
        <v>2550</v>
      </c>
      <c r="I12" s="59">
        <v>3660</v>
      </c>
      <c r="J12" s="59"/>
      <c r="K12" s="59">
        <v>2000</v>
      </c>
      <c r="L12" s="59">
        <f t="shared" si="1"/>
        <v>4210</v>
      </c>
      <c r="M12" s="59">
        <v>2550</v>
      </c>
      <c r="N12" s="59"/>
      <c r="O12" s="59">
        <v>1500</v>
      </c>
      <c r="P12" s="60">
        <f t="shared" si="2"/>
        <v>5260</v>
      </c>
      <c r="Q12" s="61" t="s">
        <v>271</v>
      </c>
    </row>
    <row r="13" spans="1:17" ht="15" customHeight="1" x14ac:dyDescent="0.25">
      <c r="A13" s="62">
        <v>9</v>
      </c>
      <c r="B13" s="63" t="s">
        <v>272</v>
      </c>
      <c r="C13" s="62"/>
      <c r="D13" s="64">
        <v>2550</v>
      </c>
      <c r="E13" s="64"/>
      <c r="F13" s="64">
        <v>2550</v>
      </c>
      <c r="G13" s="64">
        <f t="shared" si="0"/>
        <v>0</v>
      </c>
      <c r="H13" s="64">
        <v>2550</v>
      </c>
      <c r="I13" s="64"/>
      <c r="J13" s="64"/>
      <c r="K13" s="64">
        <v>2550</v>
      </c>
      <c r="L13" s="64">
        <f t="shared" si="1"/>
        <v>0</v>
      </c>
      <c r="M13" s="64">
        <v>2550</v>
      </c>
      <c r="N13" s="64"/>
      <c r="O13" s="64">
        <v>2550</v>
      </c>
      <c r="P13" s="65">
        <f t="shared" si="2"/>
        <v>0</v>
      </c>
      <c r="Q13" s="66"/>
    </row>
    <row r="14" spans="1:17" ht="15" customHeight="1" x14ac:dyDescent="0.25">
      <c r="A14" s="57">
        <v>10</v>
      </c>
      <c r="B14" s="58" t="s">
        <v>275</v>
      </c>
      <c r="C14" s="57" t="s">
        <v>98</v>
      </c>
      <c r="D14" s="59">
        <v>2422.5</v>
      </c>
      <c r="E14" s="59"/>
      <c r="F14" s="59">
        <v>2550</v>
      </c>
      <c r="G14" s="59">
        <f t="shared" si="0"/>
        <v>-127.5</v>
      </c>
      <c r="H14" s="59">
        <v>2550</v>
      </c>
      <c r="I14" s="59"/>
      <c r="J14" s="59">
        <v>127.5</v>
      </c>
      <c r="K14" s="59">
        <v>2422.5</v>
      </c>
      <c r="L14" s="59">
        <f t="shared" si="1"/>
        <v>0</v>
      </c>
      <c r="M14" s="59">
        <v>2550</v>
      </c>
      <c r="N14" s="59">
        <v>127.5</v>
      </c>
      <c r="O14" s="59">
        <v>2422.5</v>
      </c>
      <c r="P14" s="60">
        <f t="shared" si="2"/>
        <v>0</v>
      </c>
      <c r="Q14" s="61"/>
    </row>
    <row r="15" spans="1:17" ht="15" customHeight="1" x14ac:dyDescent="0.25">
      <c r="A15" s="57">
        <v>11</v>
      </c>
      <c r="B15" s="58"/>
      <c r="C15" s="57"/>
      <c r="D15" s="59"/>
      <c r="E15" s="59"/>
      <c r="F15" s="59"/>
      <c r="G15" s="59" t="str">
        <f t="shared" ref="G15:G17" si="3">IF(B15="","",0)</f>
        <v/>
      </c>
      <c r="H15" s="59"/>
      <c r="I15" s="59"/>
      <c r="J15" s="59"/>
      <c r="K15" s="59"/>
      <c r="L15" s="59" t="str">
        <f t="shared" ref="L15:L17" si="4">IF(B15="","",0)</f>
        <v/>
      </c>
      <c r="M15" s="59"/>
      <c r="N15" s="59"/>
      <c r="O15" s="59"/>
      <c r="P15" s="59" t="str">
        <f t="shared" ref="P15:P17" si="5">IF(B15="","",0)</f>
        <v/>
      </c>
      <c r="Q15" s="61"/>
    </row>
    <row r="16" spans="1:17" ht="15" customHeight="1" x14ac:dyDescent="0.25">
      <c r="A16" s="62">
        <v>12</v>
      </c>
      <c r="B16" s="63"/>
      <c r="C16" s="62"/>
      <c r="D16" s="64"/>
      <c r="E16" s="64"/>
      <c r="F16" s="64"/>
      <c r="G16" s="64" t="str">
        <f t="shared" si="3"/>
        <v/>
      </c>
      <c r="H16" s="64"/>
      <c r="I16" s="64"/>
      <c r="J16" s="64"/>
      <c r="K16" s="64"/>
      <c r="L16" s="64" t="str">
        <f t="shared" si="4"/>
        <v/>
      </c>
      <c r="M16" s="64"/>
      <c r="N16" s="64"/>
      <c r="O16" s="64"/>
      <c r="P16" s="64" t="str">
        <f t="shared" si="5"/>
        <v/>
      </c>
      <c r="Q16" s="66"/>
    </row>
    <row r="17" spans="1:17" ht="15" customHeight="1" x14ac:dyDescent="0.25">
      <c r="A17" s="57">
        <v>13</v>
      </c>
      <c r="B17" s="58"/>
      <c r="C17" s="57"/>
      <c r="D17" s="59"/>
      <c r="E17" s="59"/>
      <c r="F17" s="59"/>
      <c r="G17" s="59" t="str">
        <f t="shared" si="3"/>
        <v/>
      </c>
      <c r="H17" s="59"/>
      <c r="I17" s="59"/>
      <c r="J17" s="59"/>
      <c r="K17" s="59"/>
      <c r="L17" s="59" t="str">
        <f t="shared" si="4"/>
        <v/>
      </c>
      <c r="M17" s="59"/>
      <c r="N17" s="59"/>
      <c r="O17" s="59"/>
      <c r="P17" s="59" t="str">
        <f t="shared" si="5"/>
        <v/>
      </c>
      <c r="Q17" s="61"/>
    </row>
    <row r="18" spans="1:17" ht="15" customHeight="1" x14ac:dyDescent="0.25">
      <c r="A18" s="28"/>
      <c r="B18" s="28" t="s">
        <v>84</v>
      </c>
      <c r="C18" s="28"/>
      <c r="D18" s="29">
        <f t="shared" ref="D18:P18" si="6">SUM(D5:D17)</f>
        <v>24147.5</v>
      </c>
      <c r="E18" s="29">
        <f t="shared" si="6"/>
        <v>3110</v>
      </c>
      <c r="F18" s="29">
        <f t="shared" si="6"/>
        <v>20050</v>
      </c>
      <c r="G18" s="29">
        <f t="shared" si="6"/>
        <v>7207.5</v>
      </c>
      <c r="H18" s="29">
        <f t="shared" si="6"/>
        <v>26000</v>
      </c>
      <c r="I18" s="29">
        <f t="shared" si="6"/>
        <v>4662.5</v>
      </c>
      <c r="J18" s="29">
        <f t="shared" si="6"/>
        <v>2932.5</v>
      </c>
      <c r="K18" s="29">
        <f t="shared" si="6"/>
        <v>21245</v>
      </c>
      <c r="L18" s="29">
        <f t="shared" si="6"/>
        <v>5612.5</v>
      </c>
      <c r="M18" s="29">
        <f t="shared" si="6"/>
        <v>26000</v>
      </c>
      <c r="N18" s="29">
        <f t="shared" si="6"/>
        <v>2932.5</v>
      </c>
      <c r="O18" s="29">
        <f t="shared" si="6"/>
        <v>22480</v>
      </c>
      <c r="P18" s="29">
        <f t="shared" si="6"/>
        <v>6200</v>
      </c>
      <c r="Q18" s="66"/>
    </row>
    <row r="19" spans="1:17" ht="15" customHeight="1" x14ac:dyDescent="0.25">
      <c r="B19" s="67" t="s">
        <v>169</v>
      </c>
      <c r="F19" s="68" t="s">
        <v>170</v>
      </c>
      <c r="G19" s="69">
        <f>IF(D18+E18=0,1,F18/(D18+E18))</f>
        <v>0.73557736402824914</v>
      </c>
      <c r="K19" s="68" t="s">
        <v>171</v>
      </c>
      <c r="L19" s="70">
        <f>IF(H18+I18-J18=0,1,K18/(H18+I18-J18))</f>
        <v>0.76613775694194008</v>
      </c>
      <c r="O19" s="71">
        <f>SUMIF('KG 2 - Payments'!C5:C154,B19,'KG 2 - Payments'!F5:F154)</f>
        <v>0</v>
      </c>
      <c r="Q19" s="61"/>
    </row>
  </sheetData>
  <mergeCells count="5">
    <mergeCell ref="A1:O1"/>
    <mergeCell ref="A3:C3"/>
    <mergeCell ref="D3:G3"/>
    <mergeCell ref="H3:L3"/>
    <mergeCell ref="M3:P3"/>
  </mergeCells>
  <dataValidations count="1">
    <dataValidation type="list" allowBlank="1" showInputMessage="1" showErrorMessage="1" errorTitle="Invalid Entry" error="Select from: None, Founding Family, Sibling, Sibling 2nd, Sibling 3rd, Staff Child, or Waiver." promptTitle="Discount Type" prompt="Select discount type or &quot;None&quot; for full-fee pupils." sqref="C5:C17" xr:uid="{00000000-0002-0000-0A00-000000000000}">
      <formula1>"None,Founding Family,Sibling,Sibling 2nd,Sibling 3rd,Staff Child,Waiver"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B8FA8"/>
  </sheetPr>
  <dimension ref="A1:P182"/>
  <sheetViews>
    <sheetView tabSelected="1" zoomScaleNormal="100"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H24" sqref="H24"/>
    </sheetView>
  </sheetViews>
  <sheetFormatPr defaultColWidth="8.7109375" defaultRowHeight="15" x14ac:dyDescent="0.25"/>
  <cols>
    <col min="1" max="1" width="12" customWidth="1"/>
    <col min="2" max="2" width="13" customWidth="1"/>
    <col min="3" max="3" width="30" customWidth="1"/>
    <col min="4" max="4" width="17.7109375" customWidth="1"/>
    <col min="5" max="5" width="18" customWidth="1"/>
    <col min="6" max="6" width="14" customWidth="1"/>
    <col min="7" max="7" width="20" customWidth="1"/>
    <col min="8" max="8" width="24.7109375" customWidth="1"/>
    <col min="9" max="9" width="14" customWidth="1"/>
    <col min="10" max="10" width="10" customWidth="1"/>
    <col min="11" max="11" width="28" customWidth="1"/>
    <col min="16" max="16" width="13" hidden="1" customWidth="1"/>
  </cols>
  <sheetData>
    <row r="1" spans="1:16" ht="25.5" customHeight="1" x14ac:dyDescent="0.25">
      <c r="A1" s="140" t="s">
        <v>284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P1" t="s">
        <v>114</v>
      </c>
    </row>
    <row r="2" spans="1:16" ht="15" customHeight="1" x14ac:dyDescent="0.25">
      <c r="A2" s="131" t="s">
        <v>173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P2" t="s">
        <v>133</v>
      </c>
    </row>
    <row r="3" spans="1:16" ht="15" customHeight="1" x14ac:dyDescent="0.25">
      <c r="A3" s="132" t="s">
        <v>174</v>
      </c>
      <c r="B3" s="132"/>
      <c r="C3" s="132"/>
      <c r="D3" s="132"/>
      <c r="E3" s="132"/>
      <c r="F3" s="132"/>
      <c r="G3" s="141" t="s">
        <v>175</v>
      </c>
      <c r="H3" s="141"/>
      <c r="I3" s="141"/>
      <c r="J3" s="134" t="s">
        <v>176</v>
      </c>
      <c r="K3" s="134"/>
      <c r="P3" t="s">
        <v>283</v>
      </c>
    </row>
    <row r="4" spans="1:16" ht="25.5" customHeight="1" x14ac:dyDescent="0.25">
      <c r="A4" s="2" t="s">
        <v>177</v>
      </c>
      <c r="B4" s="2" t="s">
        <v>178</v>
      </c>
      <c r="C4" s="2" t="s">
        <v>88</v>
      </c>
      <c r="D4" s="2" t="s">
        <v>179</v>
      </c>
      <c r="E4" s="2" t="s">
        <v>180</v>
      </c>
      <c r="F4" s="2" t="s">
        <v>181</v>
      </c>
      <c r="G4" s="15" t="s">
        <v>182</v>
      </c>
      <c r="H4" s="15" t="s">
        <v>183</v>
      </c>
      <c r="I4" s="15" t="s">
        <v>184</v>
      </c>
      <c r="J4" s="8" t="s">
        <v>185</v>
      </c>
      <c r="K4" s="8" t="s">
        <v>36</v>
      </c>
    </row>
    <row r="5" spans="1:16" ht="15" customHeight="1" x14ac:dyDescent="0.25">
      <c r="A5" s="72">
        <v>46111</v>
      </c>
      <c r="B5" s="57">
        <v>1024</v>
      </c>
      <c r="C5" s="58" t="s">
        <v>114</v>
      </c>
      <c r="D5" s="57" t="s">
        <v>336</v>
      </c>
      <c r="E5" s="57"/>
      <c r="F5" s="59">
        <v>500</v>
      </c>
      <c r="G5" s="57" t="s">
        <v>338</v>
      </c>
      <c r="H5" s="58" t="s">
        <v>337</v>
      </c>
      <c r="I5" s="103">
        <f>IF(F5="","",F5)</f>
        <v>500</v>
      </c>
      <c r="J5" s="57"/>
      <c r="K5" s="58"/>
    </row>
    <row r="6" spans="1:16" ht="15" customHeight="1" x14ac:dyDescent="0.25">
      <c r="A6" s="74">
        <v>46114</v>
      </c>
      <c r="B6" s="62">
        <v>1030</v>
      </c>
      <c r="C6" s="63" t="s">
        <v>340</v>
      </c>
      <c r="D6" s="62" t="s">
        <v>336</v>
      </c>
      <c r="E6" s="62"/>
      <c r="F6" s="64">
        <v>1072.5</v>
      </c>
      <c r="G6" s="62" t="s">
        <v>189</v>
      </c>
      <c r="H6" s="63" t="s">
        <v>337</v>
      </c>
      <c r="I6" s="104">
        <f t="shared" ref="I6:I37" si="0">IF(F6="","",IF(I5="",F6,I5+F6))</f>
        <v>1572.5</v>
      </c>
      <c r="J6" s="62"/>
      <c r="K6" s="63"/>
    </row>
    <row r="7" spans="1:16" ht="15" customHeight="1" x14ac:dyDescent="0.25">
      <c r="A7" s="72">
        <v>46122</v>
      </c>
      <c r="B7" s="57">
        <v>1035</v>
      </c>
      <c r="C7" s="58" t="s">
        <v>346</v>
      </c>
      <c r="D7" s="57" t="s">
        <v>342</v>
      </c>
      <c r="E7" s="57" t="s">
        <v>347</v>
      </c>
      <c r="F7" s="59">
        <v>1000</v>
      </c>
      <c r="G7" s="57" t="s">
        <v>191</v>
      </c>
      <c r="H7" s="58" t="s">
        <v>337</v>
      </c>
      <c r="I7" s="103">
        <f t="shared" si="0"/>
        <v>2572.5</v>
      </c>
      <c r="J7" s="57"/>
      <c r="K7" s="58"/>
    </row>
    <row r="8" spans="1:16" ht="15" customHeight="1" x14ac:dyDescent="0.25">
      <c r="A8" s="74">
        <v>46127</v>
      </c>
      <c r="B8" s="62">
        <v>1038</v>
      </c>
      <c r="C8" s="63" t="s">
        <v>346</v>
      </c>
      <c r="D8" s="62" t="s">
        <v>342</v>
      </c>
      <c r="E8" s="62" t="s">
        <v>347</v>
      </c>
      <c r="F8" s="64">
        <v>1622.5</v>
      </c>
      <c r="G8" s="62" t="s">
        <v>191</v>
      </c>
      <c r="H8" s="63" t="s">
        <v>337</v>
      </c>
      <c r="I8" s="104">
        <f t="shared" si="0"/>
        <v>4195</v>
      </c>
      <c r="J8" s="62"/>
      <c r="K8" s="63"/>
    </row>
    <row r="9" spans="1:16" ht="15" customHeight="1" x14ac:dyDescent="0.25">
      <c r="A9" s="72">
        <v>46132</v>
      </c>
      <c r="B9" s="57">
        <v>1044</v>
      </c>
      <c r="C9" s="58" t="s">
        <v>351</v>
      </c>
      <c r="D9" s="57" t="s">
        <v>342</v>
      </c>
      <c r="E9" s="57" t="s">
        <v>196</v>
      </c>
      <c r="F9" s="59">
        <v>2550</v>
      </c>
      <c r="G9" s="57" t="s">
        <v>191</v>
      </c>
      <c r="H9" s="58" t="s">
        <v>337</v>
      </c>
      <c r="I9" s="103">
        <f t="shared" si="0"/>
        <v>6745</v>
      </c>
      <c r="J9" s="57"/>
      <c r="K9" s="58"/>
    </row>
    <row r="10" spans="1:16" ht="15" customHeight="1" x14ac:dyDescent="0.25">
      <c r="A10" s="74">
        <v>46135</v>
      </c>
      <c r="B10" s="62">
        <v>1047</v>
      </c>
      <c r="C10" s="63" t="s">
        <v>114</v>
      </c>
      <c r="D10" s="62" t="s">
        <v>336</v>
      </c>
      <c r="E10" s="62" t="s">
        <v>196</v>
      </c>
      <c r="F10" s="64">
        <v>622.5</v>
      </c>
      <c r="G10" s="62" t="s">
        <v>352</v>
      </c>
      <c r="H10" s="63" t="s">
        <v>343</v>
      </c>
      <c r="I10" s="104">
        <f t="shared" si="0"/>
        <v>7367.5</v>
      </c>
      <c r="J10" s="62"/>
      <c r="K10" s="63"/>
    </row>
    <row r="11" spans="1:16" ht="15" customHeight="1" x14ac:dyDescent="0.25">
      <c r="A11" s="72">
        <v>46139</v>
      </c>
      <c r="B11" s="57">
        <v>1048</v>
      </c>
      <c r="C11" s="58" t="s">
        <v>283</v>
      </c>
      <c r="D11" s="57" t="s">
        <v>342</v>
      </c>
      <c r="E11" s="57" t="s">
        <v>197</v>
      </c>
      <c r="F11" s="59">
        <v>2550</v>
      </c>
      <c r="G11" s="57" t="s">
        <v>189</v>
      </c>
      <c r="H11" s="58" t="s">
        <v>343</v>
      </c>
      <c r="I11" s="103">
        <f t="shared" si="0"/>
        <v>9917.5</v>
      </c>
      <c r="J11" s="57"/>
      <c r="K11" s="58"/>
    </row>
    <row r="12" spans="1:16" ht="15" customHeight="1" x14ac:dyDescent="0.25">
      <c r="A12" s="72">
        <v>46140</v>
      </c>
      <c r="B12" s="62">
        <v>1058</v>
      </c>
      <c r="C12" s="63" t="s">
        <v>353</v>
      </c>
      <c r="D12" s="62" t="s">
        <v>342</v>
      </c>
      <c r="E12" s="62" t="s">
        <v>197</v>
      </c>
      <c r="F12" s="64">
        <v>2550</v>
      </c>
      <c r="G12" s="62" t="s">
        <v>191</v>
      </c>
      <c r="H12" s="63" t="s">
        <v>337</v>
      </c>
      <c r="I12" s="104">
        <f t="shared" si="0"/>
        <v>12467.5</v>
      </c>
      <c r="J12" s="62"/>
      <c r="K12" s="63"/>
    </row>
    <row r="13" spans="1:16" ht="15" customHeight="1" x14ac:dyDescent="0.25">
      <c r="A13" s="72">
        <v>46118</v>
      </c>
      <c r="B13" s="57">
        <v>1064</v>
      </c>
      <c r="C13" s="58" t="s">
        <v>133</v>
      </c>
      <c r="D13" s="57" t="s">
        <v>342</v>
      </c>
      <c r="E13" s="57" t="s">
        <v>198</v>
      </c>
      <c r="F13" s="59">
        <v>1500</v>
      </c>
      <c r="G13" s="57" t="s">
        <v>338</v>
      </c>
      <c r="H13" s="58" t="s">
        <v>343</v>
      </c>
      <c r="I13" s="103">
        <f t="shared" si="0"/>
        <v>13967.5</v>
      </c>
      <c r="J13" s="57"/>
      <c r="K13" s="58"/>
    </row>
    <row r="14" spans="1:16" ht="15" customHeight="1" x14ac:dyDescent="0.25">
      <c r="A14" s="74">
        <v>46171</v>
      </c>
      <c r="B14" s="62">
        <v>1092</v>
      </c>
      <c r="C14" s="63" t="s">
        <v>129</v>
      </c>
      <c r="D14" s="62" t="s">
        <v>342</v>
      </c>
      <c r="E14" s="62" t="s">
        <v>201</v>
      </c>
      <c r="F14" s="64">
        <v>1000</v>
      </c>
      <c r="G14" s="62" t="s">
        <v>338</v>
      </c>
      <c r="H14" s="63" t="s">
        <v>343</v>
      </c>
      <c r="I14" s="104">
        <f t="shared" si="0"/>
        <v>14967.5</v>
      </c>
      <c r="J14" s="62"/>
      <c r="K14" s="63"/>
    </row>
    <row r="15" spans="1:16" ht="15" customHeight="1" x14ac:dyDescent="0.25">
      <c r="A15" s="72">
        <v>46174</v>
      </c>
      <c r="B15" s="57">
        <v>1097</v>
      </c>
      <c r="C15" s="58" t="s">
        <v>114</v>
      </c>
      <c r="D15" s="57" t="s">
        <v>342</v>
      </c>
      <c r="E15" s="57" t="s">
        <v>201</v>
      </c>
      <c r="F15" s="59">
        <v>1000</v>
      </c>
      <c r="G15" s="57" t="s">
        <v>338</v>
      </c>
      <c r="H15" s="58" t="s">
        <v>337</v>
      </c>
      <c r="I15" s="103">
        <f t="shared" si="0"/>
        <v>15967.5</v>
      </c>
      <c r="J15" s="57"/>
      <c r="K15" s="58"/>
    </row>
    <row r="16" spans="1:16" ht="15" customHeight="1" x14ac:dyDescent="0.25">
      <c r="A16" s="74">
        <v>46195</v>
      </c>
      <c r="B16" s="62">
        <v>1119</v>
      </c>
      <c r="C16" s="63" t="s">
        <v>129</v>
      </c>
      <c r="D16" s="62" t="s">
        <v>342</v>
      </c>
      <c r="E16" s="62" t="s">
        <v>205</v>
      </c>
      <c r="F16" s="64">
        <v>1500</v>
      </c>
      <c r="G16" s="62" t="s">
        <v>189</v>
      </c>
      <c r="H16" s="63" t="s">
        <v>343</v>
      </c>
      <c r="I16" s="104">
        <f t="shared" si="0"/>
        <v>17467.5</v>
      </c>
      <c r="J16" s="62"/>
      <c r="K16" s="63"/>
    </row>
    <row r="17" spans="1:11" ht="15" customHeight="1" x14ac:dyDescent="0.25">
      <c r="A17" s="72">
        <v>46197</v>
      </c>
      <c r="B17" s="57">
        <v>1121</v>
      </c>
      <c r="C17" s="58" t="s">
        <v>133</v>
      </c>
      <c r="D17" s="57" t="s">
        <v>342</v>
      </c>
      <c r="E17" s="57" t="s">
        <v>205</v>
      </c>
      <c r="F17" s="59">
        <v>1000</v>
      </c>
      <c r="G17" s="57" t="s">
        <v>338</v>
      </c>
      <c r="H17" s="58" t="s">
        <v>343</v>
      </c>
      <c r="I17" s="103">
        <f t="shared" si="0"/>
        <v>18467.5</v>
      </c>
      <c r="J17" s="57"/>
      <c r="K17" s="58"/>
    </row>
    <row r="18" spans="1:11" ht="15" customHeight="1" x14ac:dyDescent="0.25">
      <c r="A18" s="74">
        <v>46205</v>
      </c>
      <c r="B18" s="62">
        <v>1122</v>
      </c>
      <c r="C18" s="63" t="s">
        <v>133</v>
      </c>
      <c r="D18" s="62" t="s">
        <v>342</v>
      </c>
      <c r="E18" s="62" t="s">
        <v>206</v>
      </c>
      <c r="F18" s="64">
        <v>680</v>
      </c>
      <c r="G18" s="62" t="s">
        <v>338</v>
      </c>
      <c r="H18" s="116" t="s">
        <v>343</v>
      </c>
      <c r="I18" s="104">
        <f t="shared" si="0"/>
        <v>19147.5</v>
      </c>
      <c r="J18" s="62"/>
      <c r="K18" s="63"/>
    </row>
    <row r="19" spans="1:11" ht="15" customHeight="1" x14ac:dyDescent="0.25">
      <c r="A19" s="72">
        <v>46209</v>
      </c>
      <c r="B19" s="57">
        <v>1127</v>
      </c>
      <c r="C19" s="58" t="s">
        <v>362</v>
      </c>
      <c r="D19" s="57" t="s">
        <v>342</v>
      </c>
      <c r="E19" s="57" t="s">
        <v>207</v>
      </c>
      <c r="F19" s="59">
        <v>1500</v>
      </c>
      <c r="G19" s="57" t="s">
        <v>189</v>
      </c>
      <c r="H19" s="58" t="s">
        <v>343</v>
      </c>
      <c r="I19" s="103">
        <f t="shared" si="0"/>
        <v>20647.5</v>
      </c>
      <c r="J19" s="57"/>
      <c r="K19" s="58"/>
    </row>
    <row r="20" spans="1:11" ht="15" customHeight="1" x14ac:dyDescent="0.25">
      <c r="A20" s="74">
        <v>46302</v>
      </c>
      <c r="B20" s="62">
        <v>1134</v>
      </c>
      <c r="C20" s="63" t="s">
        <v>364</v>
      </c>
      <c r="D20" s="62" t="s">
        <v>336</v>
      </c>
      <c r="E20" s="62" t="s">
        <v>207</v>
      </c>
      <c r="F20" s="64">
        <v>1500</v>
      </c>
      <c r="G20" s="62" t="s">
        <v>338</v>
      </c>
      <c r="H20" s="63" t="s">
        <v>337</v>
      </c>
      <c r="I20" s="104">
        <f t="shared" si="0"/>
        <v>22147.5</v>
      </c>
      <c r="J20" s="62"/>
      <c r="K20" s="63"/>
    </row>
    <row r="21" spans="1:11" ht="15" customHeight="1" x14ac:dyDescent="0.25">
      <c r="A21" s="72" t="s">
        <v>395</v>
      </c>
      <c r="B21" s="57">
        <v>1142</v>
      </c>
      <c r="C21" s="58" t="s">
        <v>340</v>
      </c>
      <c r="D21" s="57" t="s">
        <v>342</v>
      </c>
      <c r="E21" s="57" t="s">
        <v>209</v>
      </c>
      <c r="F21" s="59">
        <v>400</v>
      </c>
      <c r="G21" s="57" t="s">
        <v>189</v>
      </c>
      <c r="H21" s="58" t="s">
        <v>337</v>
      </c>
      <c r="I21" s="103">
        <f t="shared" si="0"/>
        <v>22547.5</v>
      </c>
      <c r="J21" s="57"/>
      <c r="K21" s="58"/>
    </row>
    <row r="22" spans="1:11" ht="15" customHeight="1" x14ac:dyDescent="0.25">
      <c r="A22" s="74">
        <v>46223</v>
      </c>
      <c r="B22" s="62">
        <v>1146</v>
      </c>
      <c r="C22" s="63" t="s">
        <v>114</v>
      </c>
      <c r="D22" s="62" t="s">
        <v>342</v>
      </c>
      <c r="E22" s="62" t="s">
        <v>209</v>
      </c>
      <c r="F22" s="64">
        <v>900</v>
      </c>
      <c r="G22" s="62" t="s">
        <v>189</v>
      </c>
      <c r="H22" s="63" t="s">
        <v>343</v>
      </c>
      <c r="I22" s="104">
        <f t="shared" si="0"/>
        <v>23447.5</v>
      </c>
      <c r="J22" s="62"/>
      <c r="K22" s="63"/>
    </row>
    <row r="23" spans="1:11" ht="15" customHeight="1" x14ac:dyDescent="0.25">
      <c r="A23" s="72">
        <v>46225</v>
      </c>
      <c r="B23" s="57">
        <v>1147</v>
      </c>
      <c r="C23" s="58" t="s">
        <v>362</v>
      </c>
      <c r="D23" s="57" t="s">
        <v>342</v>
      </c>
      <c r="E23" s="57" t="s">
        <v>210</v>
      </c>
      <c r="F23" s="59">
        <v>722.5</v>
      </c>
      <c r="G23" s="57" t="s">
        <v>338</v>
      </c>
      <c r="H23" s="58" t="s">
        <v>343</v>
      </c>
      <c r="I23" s="103">
        <f t="shared" si="0"/>
        <v>24170</v>
      </c>
      <c r="J23" s="57"/>
      <c r="K23" s="58"/>
    </row>
    <row r="24" spans="1:11" ht="15" customHeight="1" x14ac:dyDescent="0.25">
      <c r="A24" s="74">
        <v>46226</v>
      </c>
      <c r="B24" s="62">
        <v>1150</v>
      </c>
      <c r="C24" s="63" t="s">
        <v>380</v>
      </c>
      <c r="D24" s="62" t="s">
        <v>336</v>
      </c>
      <c r="E24" s="62" t="s">
        <v>210</v>
      </c>
      <c r="F24" s="64">
        <v>1000</v>
      </c>
      <c r="G24" s="62" t="s">
        <v>189</v>
      </c>
      <c r="H24" s="63" t="s">
        <v>343</v>
      </c>
      <c r="I24" s="104">
        <f t="shared" si="0"/>
        <v>25170</v>
      </c>
      <c r="J24" s="62"/>
      <c r="K24" s="63"/>
    </row>
    <row r="25" spans="1:11" ht="15" customHeight="1" x14ac:dyDescent="0.25">
      <c r="A25" s="72"/>
      <c r="B25" s="57"/>
      <c r="C25" s="58"/>
      <c r="D25" s="57"/>
      <c r="E25" s="57"/>
      <c r="F25" s="59"/>
      <c r="G25" s="57"/>
      <c r="H25" s="58"/>
      <c r="I25" s="103" t="str">
        <f t="shared" si="0"/>
        <v/>
      </c>
      <c r="J25" s="57"/>
      <c r="K25" s="58"/>
    </row>
    <row r="26" spans="1:11" ht="15" customHeight="1" x14ac:dyDescent="0.25">
      <c r="A26" s="74"/>
      <c r="B26" s="62"/>
      <c r="C26" s="63"/>
      <c r="D26" s="62"/>
      <c r="E26" s="62"/>
      <c r="F26" s="64"/>
      <c r="G26" s="62"/>
      <c r="H26" s="63"/>
      <c r="I26" s="104" t="str">
        <f t="shared" si="0"/>
        <v/>
      </c>
      <c r="J26" s="62"/>
      <c r="K26" s="63"/>
    </row>
    <row r="27" spans="1:11" ht="15" customHeight="1" x14ac:dyDescent="0.25">
      <c r="A27" s="72"/>
      <c r="B27" s="57"/>
      <c r="C27" s="58"/>
      <c r="D27" s="57"/>
      <c r="E27" s="57"/>
      <c r="F27" s="59"/>
      <c r="G27" s="57"/>
      <c r="H27" s="58"/>
      <c r="I27" s="103" t="str">
        <f t="shared" si="0"/>
        <v/>
      </c>
      <c r="J27" s="57"/>
      <c r="K27" s="58"/>
    </row>
    <row r="28" spans="1:11" ht="15" customHeight="1" x14ac:dyDescent="0.25">
      <c r="A28" s="74"/>
      <c r="B28" s="62"/>
      <c r="C28" s="63"/>
      <c r="D28" s="62"/>
      <c r="E28" s="62"/>
      <c r="F28" s="64"/>
      <c r="G28" s="62"/>
      <c r="H28" s="63"/>
      <c r="I28" s="104" t="str">
        <f t="shared" si="0"/>
        <v/>
      </c>
      <c r="J28" s="62"/>
      <c r="K28" s="63"/>
    </row>
    <row r="29" spans="1:11" ht="15" customHeight="1" x14ac:dyDescent="0.25">
      <c r="A29" s="72"/>
      <c r="B29" s="57"/>
      <c r="C29" s="58"/>
      <c r="D29" s="57"/>
      <c r="E29" s="57"/>
      <c r="F29" s="59"/>
      <c r="G29" s="57"/>
      <c r="H29" s="58"/>
      <c r="I29" s="103" t="str">
        <f t="shared" si="0"/>
        <v/>
      </c>
      <c r="J29" s="57"/>
      <c r="K29" s="58"/>
    </row>
    <row r="30" spans="1:11" ht="15" customHeight="1" x14ac:dyDescent="0.25">
      <c r="A30" s="74"/>
      <c r="B30" s="62"/>
      <c r="C30" s="63"/>
      <c r="D30" s="62"/>
      <c r="E30" s="62"/>
      <c r="F30" s="64"/>
      <c r="G30" s="62"/>
      <c r="H30" s="63"/>
      <c r="I30" s="104" t="str">
        <f t="shared" si="0"/>
        <v/>
      </c>
      <c r="J30" s="62"/>
      <c r="K30" s="63"/>
    </row>
    <row r="31" spans="1:11" ht="15" customHeight="1" x14ac:dyDescent="0.25">
      <c r="A31" s="72"/>
      <c r="B31" s="57"/>
      <c r="C31" s="58"/>
      <c r="D31" s="57"/>
      <c r="E31" s="57"/>
      <c r="F31" s="59"/>
      <c r="G31" s="57"/>
      <c r="H31" s="58"/>
      <c r="I31" s="103" t="str">
        <f t="shared" si="0"/>
        <v/>
      </c>
      <c r="J31" s="57"/>
      <c r="K31" s="58"/>
    </row>
    <row r="32" spans="1:11" ht="15" customHeight="1" x14ac:dyDescent="0.25">
      <c r="A32" s="74"/>
      <c r="B32" s="62"/>
      <c r="C32" s="63"/>
      <c r="D32" s="62"/>
      <c r="E32" s="62"/>
      <c r="F32" s="64"/>
      <c r="G32" s="62"/>
      <c r="H32" s="63"/>
      <c r="I32" s="104" t="str">
        <f t="shared" si="0"/>
        <v/>
      </c>
      <c r="J32" s="62"/>
      <c r="K32" s="63"/>
    </row>
    <row r="33" spans="1:11" ht="15" customHeight="1" x14ac:dyDescent="0.25">
      <c r="A33" s="72"/>
      <c r="B33" s="57"/>
      <c r="C33" s="58"/>
      <c r="D33" s="57"/>
      <c r="E33" s="57"/>
      <c r="F33" s="59"/>
      <c r="G33" s="57"/>
      <c r="H33" s="58"/>
      <c r="I33" s="103" t="str">
        <f t="shared" si="0"/>
        <v/>
      </c>
      <c r="J33" s="57"/>
      <c r="K33" s="58"/>
    </row>
    <row r="34" spans="1:11" ht="15" customHeight="1" x14ac:dyDescent="0.25">
      <c r="A34" s="74"/>
      <c r="B34" s="62"/>
      <c r="C34" s="63"/>
      <c r="D34" s="62"/>
      <c r="E34" s="62"/>
      <c r="F34" s="64"/>
      <c r="G34" s="62"/>
      <c r="H34" s="63"/>
      <c r="I34" s="104" t="str">
        <f t="shared" si="0"/>
        <v/>
      </c>
      <c r="J34" s="62"/>
      <c r="K34" s="63"/>
    </row>
    <row r="35" spans="1:11" ht="15" customHeight="1" x14ac:dyDescent="0.25">
      <c r="A35" s="72"/>
      <c r="B35" s="57"/>
      <c r="C35" s="58"/>
      <c r="D35" s="57"/>
      <c r="E35" s="57"/>
      <c r="F35" s="59"/>
      <c r="G35" s="57"/>
      <c r="H35" s="58"/>
      <c r="I35" s="103" t="str">
        <f t="shared" si="0"/>
        <v/>
      </c>
      <c r="J35" s="57"/>
      <c r="K35" s="58"/>
    </row>
    <row r="36" spans="1:11" ht="15" customHeight="1" x14ac:dyDescent="0.25">
      <c r="A36" s="74"/>
      <c r="B36" s="62"/>
      <c r="C36" s="63"/>
      <c r="D36" s="62"/>
      <c r="E36" s="62"/>
      <c r="F36" s="64"/>
      <c r="G36" s="62"/>
      <c r="H36" s="63"/>
      <c r="I36" s="104" t="str">
        <f t="shared" si="0"/>
        <v/>
      </c>
      <c r="J36" s="62"/>
      <c r="K36" s="63"/>
    </row>
    <row r="37" spans="1:11" ht="15" customHeight="1" x14ac:dyDescent="0.25">
      <c r="A37" s="72"/>
      <c r="B37" s="57"/>
      <c r="C37" s="58"/>
      <c r="D37" s="57"/>
      <c r="E37" s="57"/>
      <c r="F37" s="59"/>
      <c r="G37" s="57"/>
      <c r="H37" s="58"/>
      <c r="I37" s="103" t="str">
        <f t="shared" si="0"/>
        <v/>
      </c>
      <c r="J37" s="57"/>
      <c r="K37" s="58"/>
    </row>
    <row r="38" spans="1:11" ht="15" customHeight="1" x14ac:dyDescent="0.25">
      <c r="A38" s="74"/>
      <c r="B38" s="62"/>
      <c r="C38" s="63"/>
      <c r="D38" s="62"/>
      <c r="E38" s="62"/>
      <c r="F38" s="64"/>
      <c r="G38" s="62"/>
      <c r="H38" s="63"/>
      <c r="I38" s="104" t="str">
        <f t="shared" ref="I38:I69" si="1">IF(F38="","",IF(I37="",F38,I37+F38))</f>
        <v/>
      </c>
      <c r="J38" s="62"/>
      <c r="K38" s="63"/>
    </row>
    <row r="39" spans="1:11" ht="15" customHeight="1" x14ac:dyDescent="0.25">
      <c r="A39" s="72"/>
      <c r="B39" s="57"/>
      <c r="C39" s="58"/>
      <c r="D39" s="57"/>
      <c r="E39" s="57"/>
      <c r="F39" s="59"/>
      <c r="G39" s="57"/>
      <c r="H39" s="58"/>
      <c r="I39" s="103" t="str">
        <f t="shared" si="1"/>
        <v/>
      </c>
      <c r="J39" s="57"/>
      <c r="K39" s="58"/>
    </row>
    <row r="40" spans="1:11" ht="15" customHeight="1" x14ac:dyDescent="0.25">
      <c r="A40" s="74"/>
      <c r="B40" s="62"/>
      <c r="C40" s="63"/>
      <c r="D40" s="62"/>
      <c r="E40" s="62"/>
      <c r="F40" s="64"/>
      <c r="G40" s="62"/>
      <c r="H40" s="63"/>
      <c r="I40" s="104" t="str">
        <f t="shared" si="1"/>
        <v/>
      </c>
      <c r="J40" s="62"/>
      <c r="K40" s="63"/>
    </row>
    <row r="41" spans="1:11" ht="15" customHeight="1" x14ac:dyDescent="0.25">
      <c r="A41" s="72"/>
      <c r="B41" s="57"/>
      <c r="C41" s="58"/>
      <c r="D41" s="57"/>
      <c r="E41" s="57"/>
      <c r="F41" s="59"/>
      <c r="G41" s="57"/>
      <c r="H41" s="58"/>
      <c r="I41" s="103" t="str">
        <f t="shared" si="1"/>
        <v/>
      </c>
      <c r="J41" s="57"/>
      <c r="K41" s="58"/>
    </row>
    <row r="42" spans="1:11" ht="15" customHeight="1" x14ac:dyDescent="0.25">
      <c r="A42" s="74"/>
      <c r="B42" s="62"/>
      <c r="C42" s="63"/>
      <c r="D42" s="62"/>
      <c r="E42" s="62"/>
      <c r="F42" s="64"/>
      <c r="G42" s="62"/>
      <c r="H42" s="63"/>
      <c r="I42" s="104" t="str">
        <f t="shared" si="1"/>
        <v/>
      </c>
      <c r="J42" s="62"/>
      <c r="K42" s="63"/>
    </row>
    <row r="43" spans="1:11" ht="15" customHeight="1" x14ac:dyDescent="0.25">
      <c r="A43" s="72"/>
      <c r="B43" s="57"/>
      <c r="C43" s="58"/>
      <c r="D43" s="57"/>
      <c r="E43" s="57"/>
      <c r="F43" s="59"/>
      <c r="G43" s="57"/>
      <c r="H43" s="58"/>
      <c r="I43" s="103" t="str">
        <f t="shared" si="1"/>
        <v/>
      </c>
      <c r="J43" s="57"/>
      <c r="K43" s="58"/>
    </row>
    <row r="44" spans="1:11" ht="15" customHeight="1" x14ac:dyDescent="0.25">
      <c r="A44" s="74"/>
      <c r="B44" s="62"/>
      <c r="C44" s="63"/>
      <c r="D44" s="62"/>
      <c r="E44" s="62"/>
      <c r="F44" s="64"/>
      <c r="G44" s="62"/>
      <c r="H44" s="63"/>
      <c r="I44" s="104" t="str">
        <f t="shared" si="1"/>
        <v/>
      </c>
      <c r="J44" s="62"/>
      <c r="K44" s="63"/>
    </row>
    <row r="45" spans="1:11" ht="15" customHeight="1" x14ac:dyDescent="0.25">
      <c r="A45" s="72"/>
      <c r="B45" s="57"/>
      <c r="C45" s="58"/>
      <c r="D45" s="57"/>
      <c r="E45" s="57"/>
      <c r="F45" s="59"/>
      <c r="G45" s="57"/>
      <c r="H45" s="58"/>
      <c r="I45" s="103" t="str">
        <f t="shared" si="1"/>
        <v/>
      </c>
      <c r="J45" s="57"/>
      <c r="K45" s="58"/>
    </row>
    <row r="46" spans="1:11" ht="15" customHeight="1" x14ac:dyDescent="0.25">
      <c r="A46" s="74"/>
      <c r="B46" s="62"/>
      <c r="C46" s="63"/>
      <c r="D46" s="62"/>
      <c r="E46" s="62"/>
      <c r="F46" s="64"/>
      <c r="G46" s="62"/>
      <c r="H46" s="63"/>
      <c r="I46" s="104" t="str">
        <f t="shared" si="1"/>
        <v/>
      </c>
      <c r="J46" s="62"/>
      <c r="K46" s="63"/>
    </row>
    <row r="47" spans="1:11" ht="15" customHeight="1" x14ac:dyDescent="0.25">
      <c r="A47" s="72"/>
      <c r="B47" s="57"/>
      <c r="C47" s="58"/>
      <c r="D47" s="57"/>
      <c r="E47" s="57"/>
      <c r="F47" s="59"/>
      <c r="G47" s="57"/>
      <c r="H47" s="58"/>
      <c r="I47" s="103" t="str">
        <f t="shared" si="1"/>
        <v/>
      </c>
      <c r="J47" s="57"/>
      <c r="K47" s="58"/>
    </row>
    <row r="48" spans="1:11" ht="15" customHeight="1" x14ac:dyDescent="0.25">
      <c r="A48" s="74"/>
      <c r="B48" s="62"/>
      <c r="C48" s="63"/>
      <c r="D48" s="62"/>
      <c r="E48" s="62"/>
      <c r="F48" s="64"/>
      <c r="G48" s="62"/>
      <c r="H48" s="63"/>
      <c r="I48" s="104" t="str">
        <f t="shared" si="1"/>
        <v/>
      </c>
      <c r="J48" s="62"/>
      <c r="K48" s="63"/>
    </row>
    <row r="49" spans="1:11" ht="15" customHeight="1" x14ac:dyDescent="0.25">
      <c r="A49" s="72"/>
      <c r="B49" s="57"/>
      <c r="C49" s="58"/>
      <c r="D49" s="57"/>
      <c r="E49" s="57"/>
      <c r="F49" s="59"/>
      <c r="G49" s="57"/>
      <c r="H49" s="58"/>
      <c r="I49" s="103" t="str">
        <f t="shared" si="1"/>
        <v/>
      </c>
      <c r="J49" s="57"/>
      <c r="K49" s="58"/>
    </row>
    <row r="50" spans="1:11" ht="15" customHeight="1" x14ac:dyDescent="0.25">
      <c r="A50" s="74"/>
      <c r="B50" s="62"/>
      <c r="C50" s="63"/>
      <c r="D50" s="62"/>
      <c r="E50" s="62"/>
      <c r="F50" s="64"/>
      <c r="G50" s="62"/>
      <c r="H50" s="63"/>
      <c r="I50" s="104" t="str">
        <f t="shared" si="1"/>
        <v/>
      </c>
      <c r="J50" s="62"/>
      <c r="K50" s="63"/>
    </row>
    <row r="51" spans="1:11" ht="15" customHeight="1" x14ac:dyDescent="0.25">
      <c r="A51" s="72"/>
      <c r="B51" s="57"/>
      <c r="C51" s="58"/>
      <c r="D51" s="57"/>
      <c r="E51" s="57"/>
      <c r="F51" s="59"/>
      <c r="G51" s="57"/>
      <c r="H51" s="58"/>
      <c r="I51" s="103" t="str">
        <f t="shared" si="1"/>
        <v/>
      </c>
      <c r="J51" s="57"/>
      <c r="K51" s="58"/>
    </row>
    <row r="52" spans="1:11" ht="15" customHeight="1" x14ac:dyDescent="0.25">
      <c r="A52" s="74"/>
      <c r="B52" s="62"/>
      <c r="C52" s="63"/>
      <c r="D52" s="62"/>
      <c r="E52" s="62"/>
      <c r="F52" s="64"/>
      <c r="G52" s="62"/>
      <c r="H52" s="63"/>
      <c r="I52" s="104" t="str">
        <f t="shared" si="1"/>
        <v/>
      </c>
      <c r="J52" s="62"/>
      <c r="K52" s="63"/>
    </row>
    <row r="53" spans="1:11" ht="15" customHeight="1" x14ac:dyDescent="0.25">
      <c r="A53" s="72"/>
      <c r="B53" s="57"/>
      <c r="C53" s="58"/>
      <c r="D53" s="57"/>
      <c r="E53" s="57"/>
      <c r="F53" s="59"/>
      <c r="G53" s="57"/>
      <c r="H53" s="58"/>
      <c r="I53" s="103" t="str">
        <f t="shared" si="1"/>
        <v/>
      </c>
      <c r="J53" s="57"/>
      <c r="K53" s="58"/>
    </row>
    <row r="54" spans="1:11" ht="15" customHeight="1" x14ac:dyDescent="0.25">
      <c r="A54" s="74"/>
      <c r="B54" s="62"/>
      <c r="C54" s="63"/>
      <c r="D54" s="62"/>
      <c r="E54" s="62"/>
      <c r="F54" s="64"/>
      <c r="G54" s="62"/>
      <c r="H54" s="63"/>
      <c r="I54" s="104" t="str">
        <f t="shared" si="1"/>
        <v/>
      </c>
      <c r="J54" s="62"/>
      <c r="K54" s="63"/>
    </row>
    <row r="55" spans="1:11" ht="15" customHeight="1" x14ac:dyDescent="0.25">
      <c r="A55" s="72"/>
      <c r="B55" s="57"/>
      <c r="C55" s="58"/>
      <c r="D55" s="57"/>
      <c r="E55" s="57"/>
      <c r="F55" s="59"/>
      <c r="G55" s="57"/>
      <c r="H55" s="58"/>
      <c r="I55" s="103" t="str">
        <f t="shared" si="1"/>
        <v/>
      </c>
      <c r="J55" s="57"/>
      <c r="K55" s="58"/>
    </row>
    <row r="56" spans="1:11" ht="15" customHeight="1" x14ac:dyDescent="0.25">
      <c r="A56" s="74"/>
      <c r="B56" s="62"/>
      <c r="C56" s="63"/>
      <c r="D56" s="62"/>
      <c r="E56" s="62"/>
      <c r="F56" s="64"/>
      <c r="G56" s="62"/>
      <c r="H56" s="63"/>
      <c r="I56" s="104" t="str">
        <f t="shared" si="1"/>
        <v/>
      </c>
      <c r="J56" s="62"/>
      <c r="K56" s="63"/>
    </row>
    <row r="57" spans="1:11" ht="15" customHeight="1" x14ac:dyDescent="0.25">
      <c r="A57" s="72"/>
      <c r="B57" s="57"/>
      <c r="C57" s="58"/>
      <c r="D57" s="57"/>
      <c r="E57" s="57"/>
      <c r="F57" s="59"/>
      <c r="G57" s="57"/>
      <c r="H57" s="58"/>
      <c r="I57" s="103" t="str">
        <f t="shared" si="1"/>
        <v/>
      </c>
      <c r="J57" s="57"/>
      <c r="K57" s="58"/>
    </row>
    <row r="58" spans="1:11" ht="15" customHeight="1" x14ac:dyDescent="0.25">
      <c r="A58" s="74"/>
      <c r="B58" s="62"/>
      <c r="C58" s="63"/>
      <c r="D58" s="62"/>
      <c r="E58" s="62"/>
      <c r="F58" s="64"/>
      <c r="G58" s="62"/>
      <c r="H58" s="63"/>
      <c r="I58" s="104" t="str">
        <f t="shared" si="1"/>
        <v/>
      </c>
      <c r="J58" s="62"/>
      <c r="K58" s="63"/>
    </row>
    <row r="59" spans="1:11" ht="15" customHeight="1" x14ac:dyDescent="0.25">
      <c r="A59" s="72"/>
      <c r="B59" s="57"/>
      <c r="C59" s="58"/>
      <c r="D59" s="57"/>
      <c r="E59" s="57"/>
      <c r="F59" s="59"/>
      <c r="G59" s="57"/>
      <c r="H59" s="58"/>
      <c r="I59" s="103" t="str">
        <f t="shared" si="1"/>
        <v/>
      </c>
      <c r="J59" s="57"/>
      <c r="K59" s="58"/>
    </row>
    <row r="60" spans="1:11" ht="15" customHeight="1" x14ac:dyDescent="0.25">
      <c r="A60" s="74"/>
      <c r="B60" s="62"/>
      <c r="C60" s="63"/>
      <c r="D60" s="62"/>
      <c r="E60" s="62"/>
      <c r="F60" s="64"/>
      <c r="G60" s="62"/>
      <c r="H60" s="63"/>
      <c r="I60" s="104" t="str">
        <f t="shared" si="1"/>
        <v/>
      </c>
      <c r="J60" s="62"/>
      <c r="K60" s="63"/>
    </row>
    <row r="61" spans="1:11" ht="15" customHeight="1" x14ac:dyDescent="0.25">
      <c r="A61" s="72"/>
      <c r="B61" s="57"/>
      <c r="C61" s="58"/>
      <c r="D61" s="57"/>
      <c r="E61" s="57"/>
      <c r="F61" s="59"/>
      <c r="G61" s="57"/>
      <c r="H61" s="58"/>
      <c r="I61" s="103" t="str">
        <f t="shared" si="1"/>
        <v/>
      </c>
      <c r="J61" s="57"/>
      <c r="K61" s="58"/>
    </row>
    <row r="62" spans="1:11" ht="15" customHeight="1" x14ac:dyDescent="0.25">
      <c r="A62" s="74"/>
      <c r="B62" s="62"/>
      <c r="C62" s="63"/>
      <c r="D62" s="62"/>
      <c r="E62" s="62"/>
      <c r="F62" s="64"/>
      <c r="G62" s="62"/>
      <c r="H62" s="63"/>
      <c r="I62" s="104" t="str">
        <f t="shared" si="1"/>
        <v/>
      </c>
      <c r="J62" s="62"/>
      <c r="K62" s="63"/>
    </row>
    <row r="63" spans="1:11" ht="15" customHeight="1" x14ac:dyDescent="0.25">
      <c r="A63" s="72"/>
      <c r="B63" s="57"/>
      <c r="C63" s="58"/>
      <c r="D63" s="57"/>
      <c r="E63" s="57"/>
      <c r="F63" s="59"/>
      <c r="G63" s="57"/>
      <c r="H63" s="58"/>
      <c r="I63" s="103" t="str">
        <f t="shared" si="1"/>
        <v/>
      </c>
      <c r="J63" s="57"/>
      <c r="K63" s="58"/>
    </row>
    <row r="64" spans="1:11" ht="15" customHeight="1" x14ac:dyDescent="0.25">
      <c r="A64" s="74"/>
      <c r="B64" s="62"/>
      <c r="C64" s="63"/>
      <c r="D64" s="62"/>
      <c r="E64" s="62"/>
      <c r="F64" s="64"/>
      <c r="G64" s="62"/>
      <c r="H64" s="63"/>
      <c r="I64" s="104" t="str">
        <f t="shared" si="1"/>
        <v/>
      </c>
      <c r="J64" s="62"/>
      <c r="K64" s="63"/>
    </row>
    <row r="65" spans="1:11" ht="15" customHeight="1" x14ac:dyDescent="0.25">
      <c r="A65" s="72"/>
      <c r="B65" s="57"/>
      <c r="C65" s="58"/>
      <c r="D65" s="57"/>
      <c r="E65" s="57"/>
      <c r="F65" s="59"/>
      <c r="G65" s="57"/>
      <c r="H65" s="58"/>
      <c r="I65" s="103" t="str">
        <f t="shared" si="1"/>
        <v/>
      </c>
      <c r="J65" s="57"/>
      <c r="K65" s="58"/>
    </row>
    <row r="66" spans="1:11" ht="15" customHeight="1" x14ac:dyDescent="0.25">
      <c r="A66" s="74"/>
      <c r="B66" s="62"/>
      <c r="C66" s="63"/>
      <c r="D66" s="62"/>
      <c r="E66" s="62"/>
      <c r="F66" s="64"/>
      <c r="G66" s="62"/>
      <c r="H66" s="63"/>
      <c r="I66" s="104" t="str">
        <f t="shared" si="1"/>
        <v/>
      </c>
      <c r="J66" s="62"/>
      <c r="K66" s="63"/>
    </row>
    <row r="67" spans="1:11" ht="15" customHeight="1" x14ac:dyDescent="0.25">
      <c r="A67" s="72"/>
      <c r="B67" s="57"/>
      <c r="C67" s="58"/>
      <c r="D67" s="57"/>
      <c r="E67" s="57"/>
      <c r="F67" s="59"/>
      <c r="G67" s="57"/>
      <c r="H67" s="58"/>
      <c r="I67" s="103" t="str">
        <f t="shared" si="1"/>
        <v/>
      </c>
      <c r="J67" s="57"/>
      <c r="K67" s="58"/>
    </row>
    <row r="68" spans="1:11" ht="15" customHeight="1" x14ac:dyDescent="0.25">
      <c r="A68" s="74"/>
      <c r="B68" s="62"/>
      <c r="C68" s="63"/>
      <c r="D68" s="62"/>
      <c r="E68" s="62"/>
      <c r="F68" s="64"/>
      <c r="G68" s="62"/>
      <c r="H68" s="63"/>
      <c r="I68" s="104" t="str">
        <f t="shared" si="1"/>
        <v/>
      </c>
      <c r="J68" s="62"/>
      <c r="K68" s="63"/>
    </row>
    <row r="69" spans="1:11" ht="15" customHeight="1" x14ac:dyDescent="0.25">
      <c r="A69" s="72"/>
      <c r="B69" s="57"/>
      <c r="C69" s="58"/>
      <c r="D69" s="57"/>
      <c r="E69" s="57"/>
      <c r="F69" s="59"/>
      <c r="G69" s="57"/>
      <c r="H69" s="58"/>
      <c r="I69" s="103" t="str">
        <f t="shared" si="1"/>
        <v/>
      </c>
      <c r="J69" s="57"/>
      <c r="K69" s="58"/>
    </row>
    <row r="70" spans="1:11" ht="15" customHeight="1" x14ac:dyDescent="0.25">
      <c r="A70" s="74"/>
      <c r="B70" s="62"/>
      <c r="C70" s="63"/>
      <c r="D70" s="62"/>
      <c r="E70" s="62"/>
      <c r="F70" s="64"/>
      <c r="G70" s="62"/>
      <c r="H70" s="63"/>
      <c r="I70" s="104" t="str">
        <f t="shared" ref="I70:I101" si="2">IF(F70="","",IF(I69="",F70,I69+F70))</f>
        <v/>
      </c>
      <c r="J70" s="62"/>
      <c r="K70" s="63"/>
    </row>
    <row r="71" spans="1:11" ht="15" customHeight="1" x14ac:dyDescent="0.25">
      <c r="A71" s="72"/>
      <c r="B71" s="57"/>
      <c r="C71" s="58"/>
      <c r="D71" s="57"/>
      <c r="E71" s="57"/>
      <c r="F71" s="59"/>
      <c r="G71" s="57"/>
      <c r="H71" s="58"/>
      <c r="I71" s="103" t="str">
        <f t="shared" si="2"/>
        <v/>
      </c>
      <c r="J71" s="57"/>
      <c r="K71" s="58"/>
    </row>
    <row r="72" spans="1:11" ht="15" customHeight="1" x14ac:dyDescent="0.25">
      <c r="A72" s="74"/>
      <c r="B72" s="62"/>
      <c r="C72" s="63"/>
      <c r="D72" s="62"/>
      <c r="E72" s="62"/>
      <c r="F72" s="64"/>
      <c r="G72" s="62"/>
      <c r="H72" s="63"/>
      <c r="I72" s="104" t="str">
        <f t="shared" si="2"/>
        <v/>
      </c>
      <c r="J72" s="62"/>
      <c r="K72" s="63"/>
    </row>
    <row r="73" spans="1:11" ht="15" customHeight="1" x14ac:dyDescent="0.25">
      <c r="A73" s="72"/>
      <c r="B73" s="57"/>
      <c r="C73" s="58"/>
      <c r="D73" s="57"/>
      <c r="E73" s="57"/>
      <c r="F73" s="59"/>
      <c r="G73" s="57"/>
      <c r="H73" s="58"/>
      <c r="I73" s="103" t="str">
        <f t="shared" si="2"/>
        <v/>
      </c>
      <c r="J73" s="57"/>
      <c r="K73" s="58"/>
    </row>
    <row r="74" spans="1:11" ht="15" customHeight="1" x14ac:dyDescent="0.25">
      <c r="A74" s="74"/>
      <c r="B74" s="62"/>
      <c r="C74" s="63"/>
      <c r="D74" s="62"/>
      <c r="E74" s="62"/>
      <c r="F74" s="64"/>
      <c r="G74" s="62"/>
      <c r="H74" s="63"/>
      <c r="I74" s="104" t="str">
        <f t="shared" si="2"/>
        <v/>
      </c>
      <c r="J74" s="62"/>
      <c r="K74" s="63"/>
    </row>
    <row r="75" spans="1:11" ht="15" customHeight="1" x14ac:dyDescent="0.25">
      <c r="A75" s="72"/>
      <c r="B75" s="57"/>
      <c r="C75" s="58"/>
      <c r="D75" s="57"/>
      <c r="E75" s="57"/>
      <c r="F75" s="59"/>
      <c r="G75" s="57"/>
      <c r="H75" s="58"/>
      <c r="I75" s="103" t="str">
        <f t="shared" si="2"/>
        <v/>
      </c>
      <c r="J75" s="57"/>
      <c r="K75" s="58"/>
    </row>
    <row r="76" spans="1:11" ht="15" customHeight="1" x14ac:dyDescent="0.25">
      <c r="A76" s="74"/>
      <c r="B76" s="62"/>
      <c r="C76" s="63"/>
      <c r="D76" s="62"/>
      <c r="E76" s="62"/>
      <c r="F76" s="64"/>
      <c r="G76" s="62"/>
      <c r="H76" s="63"/>
      <c r="I76" s="104" t="str">
        <f t="shared" si="2"/>
        <v/>
      </c>
      <c r="J76" s="62"/>
      <c r="K76" s="63"/>
    </row>
    <row r="77" spans="1:11" ht="15" customHeight="1" x14ac:dyDescent="0.25">
      <c r="A77" s="72"/>
      <c r="B77" s="57"/>
      <c r="C77" s="58"/>
      <c r="D77" s="57"/>
      <c r="E77" s="57"/>
      <c r="F77" s="59"/>
      <c r="G77" s="57"/>
      <c r="H77" s="58"/>
      <c r="I77" s="103" t="str">
        <f t="shared" si="2"/>
        <v/>
      </c>
      <c r="J77" s="57"/>
      <c r="K77" s="58"/>
    </row>
    <row r="78" spans="1:11" ht="15" customHeight="1" x14ac:dyDescent="0.25">
      <c r="A78" s="74"/>
      <c r="B78" s="62"/>
      <c r="C78" s="63"/>
      <c r="D78" s="62"/>
      <c r="E78" s="62"/>
      <c r="F78" s="64"/>
      <c r="G78" s="62"/>
      <c r="H78" s="63"/>
      <c r="I78" s="104" t="str">
        <f t="shared" si="2"/>
        <v/>
      </c>
      <c r="J78" s="62"/>
      <c r="K78" s="63"/>
    </row>
    <row r="79" spans="1:11" ht="15" customHeight="1" x14ac:dyDescent="0.25">
      <c r="A79" s="72"/>
      <c r="B79" s="57"/>
      <c r="C79" s="58"/>
      <c r="D79" s="57"/>
      <c r="E79" s="57"/>
      <c r="F79" s="59"/>
      <c r="G79" s="57"/>
      <c r="H79" s="58"/>
      <c r="I79" s="103" t="str">
        <f t="shared" si="2"/>
        <v/>
      </c>
      <c r="J79" s="57"/>
      <c r="K79" s="58"/>
    </row>
    <row r="80" spans="1:11" ht="15" customHeight="1" x14ac:dyDescent="0.25">
      <c r="A80" s="74"/>
      <c r="B80" s="62"/>
      <c r="C80" s="63"/>
      <c r="D80" s="62"/>
      <c r="E80" s="62"/>
      <c r="F80" s="64"/>
      <c r="G80" s="62"/>
      <c r="H80" s="63"/>
      <c r="I80" s="104" t="str">
        <f t="shared" si="2"/>
        <v/>
      </c>
      <c r="J80" s="62"/>
      <c r="K80" s="63"/>
    </row>
    <row r="81" spans="1:11" ht="15" customHeight="1" x14ac:dyDescent="0.25">
      <c r="A81" s="72"/>
      <c r="B81" s="57"/>
      <c r="C81" s="58"/>
      <c r="D81" s="57"/>
      <c r="E81" s="57"/>
      <c r="F81" s="59"/>
      <c r="G81" s="57"/>
      <c r="H81" s="58"/>
      <c r="I81" s="103" t="str">
        <f t="shared" si="2"/>
        <v/>
      </c>
      <c r="J81" s="57"/>
      <c r="K81" s="58"/>
    </row>
    <row r="82" spans="1:11" ht="15" customHeight="1" x14ac:dyDescent="0.25">
      <c r="A82" s="74"/>
      <c r="B82" s="62"/>
      <c r="C82" s="63"/>
      <c r="D82" s="62"/>
      <c r="E82" s="62"/>
      <c r="F82" s="64"/>
      <c r="G82" s="62"/>
      <c r="H82" s="63"/>
      <c r="I82" s="104" t="str">
        <f t="shared" si="2"/>
        <v/>
      </c>
      <c r="J82" s="62"/>
      <c r="K82" s="63"/>
    </row>
    <row r="83" spans="1:11" ht="15" customHeight="1" x14ac:dyDescent="0.25">
      <c r="A83" s="72"/>
      <c r="B83" s="57"/>
      <c r="C83" s="58"/>
      <c r="D83" s="57"/>
      <c r="E83" s="57"/>
      <c r="F83" s="59"/>
      <c r="G83" s="57"/>
      <c r="H83" s="58"/>
      <c r="I83" s="103" t="str">
        <f t="shared" si="2"/>
        <v/>
      </c>
      <c r="J83" s="57"/>
      <c r="K83" s="58"/>
    </row>
    <row r="84" spans="1:11" ht="15" customHeight="1" x14ac:dyDescent="0.25">
      <c r="A84" s="74"/>
      <c r="B84" s="62"/>
      <c r="C84" s="63"/>
      <c r="D84" s="62"/>
      <c r="E84" s="62"/>
      <c r="F84" s="64"/>
      <c r="G84" s="62"/>
      <c r="H84" s="63"/>
      <c r="I84" s="104" t="str">
        <f t="shared" si="2"/>
        <v/>
      </c>
      <c r="J84" s="62"/>
      <c r="K84" s="63"/>
    </row>
    <row r="85" spans="1:11" ht="15" customHeight="1" x14ac:dyDescent="0.25">
      <c r="A85" s="72"/>
      <c r="B85" s="57"/>
      <c r="C85" s="58"/>
      <c r="D85" s="57"/>
      <c r="E85" s="57"/>
      <c r="F85" s="59"/>
      <c r="G85" s="57"/>
      <c r="H85" s="58"/>
      <c r="I85" s="103" t="str">
        <f t="shared" si="2"/>
        <v/>
      </c>
      <c r="J85" s="57"/>
      <c r="K85" s="58"/>
    </row>
    <row r="86" spans="1:11" ht="15" customHeight="1" x14ac:dyDescent="0.25">
      <c r="A86" s="74"/>
      <c r="B86" s="62"/>
      <c r="C86" s="63"/>
      <c r="D86" s="62"/>
      <c r="E86" s="62"/>
      <c r="F86" s="64"/>
      <c r="G86" s="62"/>
      <c r="H86" s="63"/>
      <c r="I86" s="104" t="str">
        <f t="shared" si="2"/>
        <v/>
      </c>
      <c r="J86" s="62"/>
      <c r="K86" s="63"/>
    </row>
    <row r="87" spans="1:11" ht="15" customHeight="1" x14ac:dyDescent="0.25">
      <c r="A87" s="72"/>
      <c r="B87" s="57"/>
      <c r="C87" s="58"/>
      <c r="D87" s="57"/>
      <c r="E87" s="57"/>
      <c r="F87" s="59"/>
      <c r="G87" s="57"/>
      <c r="H87" s="58"/>
      <c r="I87" s="103" t="str">
        <f t="shared" si="2"/>
        <v/>
      </c>
      <c r="J87" s="57"/>
      <c r="K87" s="58"/>
    </row>
    <row r="88" spans="1:11" ht="15" customHeight="1" x14ac:dyDescent="0.25">
      <c r="A88" s="74"/>
      <c r="B88" s="62"/>
      <c r="C88" s="63"/>
      <c r="D88" s="62"/>
      <c r="E88" s="62"/>
      <c r="F88" s="64"/>
      <c r="G88" s="62"/>
      <c r="H88" s="63"/>
      <c r="I88" s="104" t="str">
        <f t="shared" si="2"/>
        <v/>
      </c>
      <c r="J88" s="62"/>
      <c r="K88" s="63"/>
    </row>
    <row r="89" spans="1:11" ht="15" customHeight="1" x14ac:dyDescent="0.25">
      <c r="A89" s="72"/>
      <c r="B89" s="57"/>
      <c r="C89" s="58"/>
      <c r="D89" s="57"/>
      <c r="E89" s="57"/>
      <c r="F89" s="59"/>
      <c r="G89" s="57"/>
      <c r="H89" s="58"/>
      <c r="I89" s="103" t="str">
        <f t="shared" si="2"/>
        <v/>
      </c>
      <c r="J89" s="57"/>
      <c r="K89" s="58"/>
    </row>
    <row r="90" spans="1:11" ht="15" customHeight="1" x14ac:dyDescent="0.25">
      <c r="A90" s="74"/>
      <c r="B90" s="62"/>
      <c r="C90" s="63"/>
      <c r="D90" s="62"/>
      <c r="E90" s="62"/>
      <c r="F90" s="64"/>
      <c r="G90" s="62"/>
      <c r="H90" s="63"/>
      <c r="I90" s="104" t="str">
        <f t="shared" si="2"/>
        <v/>
      </c>
      <c r="J90" s="62"/>
      <c r="K90" s="63"/>
    </row>
    <row r="91" spans="1:11" ht="15" customHeight="1" x14ac:dyDescent="0.25">
      <c r="A91" s="72"/>
      <c r="B91" s="57"/>
      <c r="C91" s="58"/>
      <c r="D91" s="57"/>
      <c r="E91" s="57"/>
      <c r="F91" s="59"/>
      <c r="G91" s="57"/>
      <c r="H91" s="58"/>
      <c r="I91" s="103" t="str">
        <f t="shared" si="2"/>
        <v/>
      </c>
      <c r="J91" s="57"/>
      <c r="K91" s="58"/>
    </row>
    <row r="92" spans="1:11" ht="15" customHeight="1" x14ac:dyDescent="0.25">
      <c r="A92" s="74"/>
      <c r="B92" s="62"/>
      <c r="C92" s="63"/>
      <c r="D92" s="62"/>
      <c r="E92" s="62"/>
      <c r="F92" s="64"/>
      <c r="G92" s="62"/>
      <c r="H92" s="63"/>
      <c r="I92" s="104" t="str">
        <f t="shared" si="2"/>
        <v/>
      </c>
      <c r="J92" s="62"/>
      <c r="K92" s="63"/>
    </row>
    <row r="93" spans="1:11" ht="15" customHeight="1" x14ac:dyDescent="0.25">
      <c r="A93" s="72"/>
      <c r="B93" s="57"/>
      <c r="C93" s="58"/>
      <c r="D93" s="57"/>
      <c r="E93" s="57"/>
      <c r="F93" s="59"/>
      <c r="G93" s="57"/>
      <c r="H93" s="58"/>
      <c r="I93" s="103" t="str">
        <f t="shared" si="2"/>
        <v/>
      </c>
      <c r="J93" s="57"/>
      <c r="K93" s="58"/>
    </row>
    <row r="94" spans="1:11" ht="15" customHeight="1" x14ac:dyDescent="0.25">
      <c r="A94" s="74"/>
      <c r="B94" s="62"/>
      <c r="C94" s="63"/>
      <c r="D94" s="62"/>
      <c r="E94" s="62"/>
      <c r="F94" s="64"/>
      <c r="G94" s="62"/>
      <c r="H94" s="63"/>
      <c r="I94" s="104" t="str">
        <f t="shared" si="2"/>
        <v/>
      </c>
      <c r="J94" s="62"/>
      <c r="K94" s="63"/>
    </row>
    <row r="95" spans="1:11" ht="15" customHeight="1" x14ac:dyDescent="0.25">
      <c r="A95" s="72"/>
      <c r="B95" s="57"/>
      <c r="C95" s="58"/>
      <c r="D95" s="57"/>
      <c r="E95" s="57"/>
      <c r="F95" s="59"/>
      <c r="G95" s="57"/>
      <c r="H95" s="58"/>
      <c r="I95" s="103" t="str">
        <f t="shared" si="2"/>
        <v/>
      </c>
      <c r="J95" s="57"/>
      <c r="K95" s="58"/>
    </row>
    <row r="96" spans="1:11" ht="15" customHeight="1" x14ac:dyDescent="0.25">
      <c r="A96" s="74"/>
      <c r="B96" s="62"/>
      <c r="C96" s="63"/>
      <c r="D96" s="62"/>
      <c r="E96" s="62"/>
      <c r="F96" s="64"/>
      <c r="G96" s="62"/>
      <c r="H96" s="63"/>
      <c r="I96" s="104" t="str">
        <f t="shared" si="2"/>
        <v/>
      </c>
      <c r="J96" s="62"/>
      <c r="K96" s="63"/>
    </row>
    <row r="97" spans="1:11" ht="15" customHeight="1" x14ac:dyDescent="0.25">
      <c r="A97" s="72"/>
      <c r="B97" s="57"/>
      <c r="C97" s="58"/>
      <c r="D97" s="57"/>
      <c r="E97" s="57"/>
      <c r="F97" s="59"/>
      <c r="G97" s="57"/>
      <c r="H97" s="58"/>
      <c r="I97" s="103" t="str">
        <f t="shared" si="2"/>
        <v/>
      </c>
      <c r="J97" s="57"/>
      <c r="K97" s="58"/>
    </row>
    <row r="98" spans="1:11" ht="15" customHeight="1" x14ac:dyDescent="0.25">
      <c r="A98" s="74"/>
      <c r="B98" s="62"/>
      <c r="C98" s="63"/>
      <c r="D98" s="62"/>
      <c r="E98" s="62"/>
      <c r="F98" s="64"/>
      <c r="G98" s="62"/>
      <c r="H98" s="63"/>
      <c r="I98" s="104" t="str">
        <f t="shared" si="2"/>
        <v/>
      </c>
      <c r="J98" s="62"/>
      <c r="K98" s="63"/>
    </row>
    <row r="99" spans="1:11" ht="15" customHeight="1" x14ac:dyDescent="0.25">
      <c r="A99" s="72"/>
      <c r="B99" s="57"/>
      <c r="C99" s="58"/>
      <c r="D99" s="57"/>
      <c r="E99" s="57"/>
      <c r="F99" s="59"/>
      <c r="G99" s="57"/>
      <c r="H99" s="58"/>
      <c r="I99" s="103" t="str">
        <f t="shared" si="2"/>
        <v/>
      </c>
      <c r="J99" s="57"/>
      <c r="K99" s="58"/>
    </row>
    <row r="100" spans="1:11" ht="15" customHeight="1" x14ac:dyDescent="0.25">
      <c r="A100" s="74"/>
      <c r="B100" s="62"/>
      <c r="C100" s="63"/>
      <c r="D100" s="62"/>
      <c r="E100" s="62"/>
      <c r="F100" s="64"/>
      <c r="G100" s="62"/>
      <c r="H100" s="63"/>
      <c r="I100" s="104" t="str">
        <f t="shared" si="2"/>
        <v/>
      </c>
      <c r="J100" s="62"/>
      <c r="K100" s="63"/>
    </row>
    <row r="101" spans="1:11" ht="15" customHeight="1" x14ac:dyDescent="0.25">
      <c r="A101" s="72"/>
      <c r="B101" s="57"/>
      <c r="C101" s="58"/>
      <c r="D101" s="57"/>
      <c r="E101" s="57"/>
      <c r="F101" s="59"/>
      <c r="G101" s="57"/>
      <c r="H101" s="58"/>
      <c r="I101" s="103" t="str">
        <f t="shared" si="2"/>
        <v/>
      </c>
      <c r="J101" s="57"/>
      <c r="K101" s="58"/>
    </row>
    <row r="102" spans="1:11" ht="15" customHeight="1" x14ac:dyDescent="0.25">
      <c r="A102" s="74"/>
      <c r="B102" s="62"/>
      <c r="C102" s="63"/>
      <c r="D102" s="62"/>
      <c r="E102" s="62"/>
      <c r="F102" s="64"/>
      <c r="G102" s="62"/>
      <c r="H102" s="63"/>
      <c r="I102" s="104" t="str">
        <f t="shared" ref="I102:I133" si="3">IF(F102="","",IF(I101="",F102,I101+F102))</f>
        <v/>
      </c>
      <c r="J102" s="62"/>
      <c r="K102" s="63"/>
    </row>
    <row r="103" spans="1:11" ht="15" customHeight="1" x14ac:dyDescent="0.25">
      <c r="A103" s="72"/>
      <c r="B103" s="57"/>
      <c r="C103" s="58"/>
      <c r="D103" s="57"/>
      <c r="E103" s="57"/>
      <c r="F103" s="59"/>
      <c r="G103" s="57"/>
      <c r="H103" s="58"/>
      <c r="I103" s="103" t="str">
        <f t="shared" si="3"/>
        <v/>
      </c>
      <c r="J103" s="57"/>
      <c r="K103" s="58"/>
    </row>
    <row r="104" spans="1:11" ht="15" customHeight="1" x14ac:dyDescent="0.25">
      <c r="A104" s="74"/>
      <c r="B104" s="62"/>
      <c r="C104" s="63"/>
      <c r="D104" s="62"/>
      <c r="E104" s="62"/>
      <c r="F104" s="64"/>
      <c r="G104" s="62"/>
      <c r="H104" s="63"/>
      <c r="I104" s="104" t="str">
        <f t="shared" si="3"/>
        <v/>
      </c>
      <c r="J104" s="62"/>
      <c r="K104" s="63"/>
    </row>
    <row r="105" spans="1:11" ht="15" customHeight="1" x14ac:dyDescent="0.25">
      <c r="A105" s="72"/>
      <c r="B105" s="57"/>
      <c r="C105" s="58"/>
      <c r="D105" s="57"/>
      <c r="E105" s="57"/>
      <c r="F105" s="59"/>
      <c r="G105" s="57"/>
      <c r="H105" s="58"/>
      <c r="I105" s="103" t="str">
        <f t="shared" si="3"/>
        <v/>
      </c>
      <c r="J105" s="57"/>
      <c r="K105" s="58"/>
    </row>
    <row r="106" spans="1:11" ht="15" customHeight="1" x14ac:dyDescent="0.25">
      <c r="A106" s="74"/>
      <c r="B106" s="62"/>
      <c r="C106" s="63"/>
      <c r="D106" s="62"/>
      <c r="E106" s="62"/>
      <c r="F106" s="64"/>
      <c r="G106" s="62"/>
      <c r="H106" s="63"/>
      <c r="I106" s="104" t="str">
        <f t="shared" si="3"/>
        <v/>
      </c>
      <c r="J106" s="62"/>
      <c r="K106" s="63"/>
    </row>
    <row r="107" spans="1:11" ht="15" customHeight="1" x14ac:dyDescent="0.25">
      <c r="A107" s="72"/>
      <c r="B107" s="57"/>
      <c r="C107" s="58"/>
      <c r="D107" s="57"/>
      <c r="E107" s="57"/>
      <c r="F107" s="59"/>
      <c r="G107" s="57"/>
      <c r="H107" s="58"/>
      <c r="I107" s="103" t="str">
        <f t="shared" si="3"/>
        <v/>
      </c>
      <c r="J107" s="57"/>
      <c r="K107" s="58"/>
    </row>
    <row r="108" spans="1:11" ht="15" customHeight="1" x14ac:dyDescent="0.25">
      <c r="A108" s="74"/>
      <c r="B108" s="62"/>
      <c r="C108" s="63"/>
      <c r="D108" s="62"/>
      <c r="E108" s="62"/>
      <c r="F108" s="64"/>
      <c r="G108" s="62"/>
      <c r="H108" s="63"/>
      <c r="I108" s="104" t="str">
        <f t="shared" si="3"/>
        <v/>
      </c>
      <c r="J108" s="62"/>
      <c r="K108" s="63"/>
    </row>
    <row r="109" spans="1:11" ht="15" customHeight="1" x14ac:dyDescent="0.25">
      <c r="A109" s="72"/>
      <c r="B109" s="57"/>
      <c r="C109" s="58"/>
      <c r="D109" s="57"/>
      <c r="E109" s="57"/>
      <c r="F109" s="59"/>
      <c r="G109" s="57"/>
      <c r="H109" s="58"/>
      <c r="I109" s="103" t="str">
        <f t="shared" si="3"/>
        <v/>
      </c>
      <c r="J109" s="57"/>
      <c r="K109" s="58"/>
    </row>
    <row r="110" spans="1:11" ht="15" customHeight="1" x14ac:dyDescent="0.25">
      <c r="A110" s="74"/>
      <c r="B110" s="62"/>
      <c r="C110" s="63"/>
      <c r="D110" s="62"/>
      <c r="E110" s="62"/>
      <c r="F110" s="64"/>
      <c r="G110" s="62"/>
      <c r="H110" s="63"/>
      <c r="I110" s="104" t="str">
        <f t="shared" si="3"/>
        <v/>
      </c>
      <c r="J110" s="62"/>
      <c r="K110" s="63"/>
    </row>
    <row r="111" spans="1:11" ht="15" customHeight="1" x14ac:dyDescent="0.25">
      <c r="A111" s="72"/>
      <c r="B111" s="57"/>
      <c r="C111" s="58"/>
      <c r="D111" s="57"/>
      <c r="E111" s="57"/>
      <c r="F111" s="59"/>
      <c r="G111" s="57"/>
      <c r="H111" s="58"/>
      <c r="I111" s="103" t="str">
        <f t="shared" si="3"/>
        <v/>
      </c>
      <c r="J111" s="57"/>
      <c r="K111" s="58"/>
    </row>
    <row r="112" spans="1:11" ht="15" customHeight="1" x14ac:dyDescent="0.25">
      <c r="A112" s="74"/>
      <c r="B112" s="62"/>
      <c r="C112" s="63"/>
      <c r="D112" s="62"/>
      <c r="E112" s="62"/>
      <c r="F112" s="64"/>
      <c r="G112" s="62"/>
      <c r="H112" s="63"/>
      <c r="I112" s="104" t="str">
        <f t="shared" si="3"/>
        <v/>
      </c>
      <c r="J112" s="62"/>
      <c r="K112" s="63"/>
    </row>
    <row r="113" spans="1:11" ht="15" customHeight="1" x14ac:dyDescent="0.25">
      <c r="A113" s="72"/>
      <c r="B113" s="57"/>
      <c r="C113" s="58"/>
      <c r="D113" s="57"/>
      <c r="E113" s="57"/>
      <c r="F113" s="59"/>
      <c r="G113" s="57"/>
      <c r="H113" s="58"/>
      <c r="I113" s="103" t="str">
        <f t="shared" si="3"/>
        <v/>
      </c>
      <c r="J113" s="57"/>
      <c r="K113" s="58"/>
    </row>
    <row r="114" spans="1:11" ht="15" customHeight="1" x14ac:dyDescent="0.25">
      <c r="A114" s="74"/>
      <c r="B114" s="62"/>
      <c r="C114" s="63"/>
      <c r="D114" s="62"/>
      <c r="E114" s="62"/>
      <c r="F114" s="64"/>
      <c r="G114" s="62"/>
      <c r="H114" s="63"/>
      <c r="I114" s="104" t="str">
        <f t="shared" si="3"/>
        <v/>
      </c>
      <c r="J114" s="62"/>
      <c r="K114" s="63"/>
    </row>
    <row r="115" spans="1:11" ht="15" customHeight="1" x14ac:dyDescent="0.25">
      <c r="A115" s="72"/>
      <c r="B115" s="57"/>
      <c r="C115" s="58"/>
      <c r="D115" s="57"/>
      <c r="E115" s="57"/>
      <c r="F115" s="59"/>
      <c r="G115" s="57"/>
      <c r="H115" s="58"/>
      <c r="I115" s="103" t="str">
        <f t="shared" si="3"/>
        <v/>
      </c>
      <c r="J115" s="57"/>
      <c r="K115" s="58"/>
    </row>
    <row r="116" spans="1:11" ht="15" customHeight="1" x14ac:dyDescent="0.25">
      <c r="A116" s="74"/>
      <c r="B116" s="62"/>
      <c r="C116" s="63"/>
      <c r="D116" s="62"/>
      <c r="E116" s="62"/>
      <c r="F116" s="64"/>
      <c r="G116" s="62"/>
      <c r="H116" s="63"/>
      <c r="I116" s="104" t="str">
        <f t="shared" si="3"/>
        <v/>
      </c>
      <c r="J116" s="62"/>
      <c r="K116" s="63"/>
    </row>
    <row r="117" spans="1:11" ht="15" customHeight="1" x14ac:dyDescent="0.25">
      <c r="A117" s="72"/>
      <c r="B117" s="57"/>
      <c r="C117" s="58"/>
      <c r="D117" s="57"/>
      <c r="E117" s="57"/>
      <c r="F117" s="59"/>
      <c r="G117" s="57"/>
      <c r="H117" s="58"/>
      <c r="I117" s="103" t="str">
        <f t="shared" si="3"/>
        <v/>
      </c>
      <c r="J117" s="57"/>
      <c r="K117" s="58"/>
    </row>
    <row r="118" spans="1:11" ht="15" customHeight="1" x14ac:dyDescent="0.25">
      <c r="A118" s="74"/>
      <c r="B118" s="62"/>
      <c r="C118" s="63"/>
      <c r="D118" s="62"/>
      <c r="E118" s="62"/>
      <c r="F118" s="64"/>
      <c r="G118" s="62"/>
      <c r="H118" s="63"/>
      <c r="I118" s="104" t="str">
        <f t="shared" si="3"/>
        <v/>
      </c>
      <c r="J118" s="62"/>
      <c r="K118" s="63"/>
    </row>
    <row r="119" spans="1:11" ht="15" customHeight="1" x14ac:dyDescent="0.25">
      <c r="A119" s="72"/>
      <c r="B119" s="57"/>
      <c r="C119" s="58"/>
      <c r="D119" s="57"/>
      <c r="E119" s="57"/>
      <c r="F119" s="59"/>
      <c r="G119" s="57"/>
      <c r="H119" s="58"/>
      <c r="I119" s="103" t="str">
        <f t="shared" si="3"/>
        <v/>
      </c>
      <c r="J119" s="57"/>
      <c r="K119" s="58"/>
    </row>
    <row r="120" spans="1:11" ht="15" customHeight="1" x14ac:dyDescent="0.25">
      <c r="A120" s="74"/>
      <c r="B120" s="62"/>
      <c r="C120" s="63"/>
      <c r="D120" s="62"/>
      <c r="E120" s="62"/>
      <c r="F120" s="64"/>
      <c r="G120" s="62"/>
      <c r="H120" s="63"/>
      <c r="I120" s="104" t="str">
        <f t="shared" si="3"/>
        <v/>
      </c>
      <c r="J120" s="62"/>
      <c r="K120" s="63"/>
    </row>
    <row r="121" spans="1:11" ht="15" customHeight="1" x14ac:dyDescent="0.25">
      <c r="A121" s="72"/>
      <c r="B121" s="57"/>
      <c r="C121" s="58"/>
      <c r="D121" s="57"/>
      <c r="E121" s="57"/>
      <c r="F121" s="59"/>
      <c r="G121" s="57"/>
      <c r="H121" s="58"/>
      <c r="I121" s="103" t="str">
        <f t="shared" si="3"/>
        <v/>
      </c>
      <c r="J121" s="57"/>
      <c r="K121" s="58"/>
    </row>
    <row r="122" spans="1:11" ht="15" customHeight="1" x14ac:dyDescent="0.25">
      <c r="A122" s="74"/>
      <c r="B122" s="62"/>
      <c r="C122" s="63"/>
      <c r="D122" s="62"/>
      <c r="E122" s="62"/>
      <c r="F122" s="64"/>
      <c r="G122" s="62"/>
      <c r="H122" s="63"/>
      <c r="I122" s="104" t="str">
        <f t="shared" si="3"/>
        <v/>
      </c>
      <c r="J122" s="62"/>
      <c r="K122" s="63"/>
    </row>
    <row r="123" spans="1:11" ht="15" customHeight="1" x14ac:dyDescent="0.25">
      <c r="A123" s="72"/>
      <c r="B123" s="57"/>
      <c r="C123" s="58"/>
      <c r="D123" s="57"/>
      <c r="E123" s="57"/>
      <c r="F123" s="59"/>
      <c r="G123" s="57"/>
      <c r="H123" s="58"/>
      <c r="I123" s="103" t="str">
        <f t="shared" si="3"/>
        <v/>
      </c>
      <c r="J123" s="57"/>
      <c r="K123" s="58"/>
    </row>
    <row r="124" spans="1:11" ht="15" customHeight="1" x14ac:dyDescent="0.25">
      <c r="A124" s="74"/>
      <c r="B124" s="62"/>
      <c r="C124" s="63"/>
      <c r="D124" s="62"/>
      <c r="E124" s="62"/>
      <c r="F124" s="64"/>
      <c r="G124" s="62"/>
      <c r="H124" s="63"/>
      <c r="I124" s="104" t="str">
        <f t="shared" si="3"/>
        <v/>
      </c>
      <c r="J124" s="62"/>
      <c r="K124" s="63"/>
    </row>
    <row r="125" spans="1:11" ht="15" customHeight="1" x14ac:dyDescent="0.25">
      <c r="A125" s="72"/>
      <c r="B125" s="57"/>
      <c r="C125" s="58"/>
      <c r="D125" s="57"/>
      <c r="E125" s="57"/>
      <c r="F125" s="59"/>
      <c r="G125" s="57"/>
      <c r="H125" s="58"/>
      <c r="I125" s="103" t="str">
        <f t="shared" si="3"/>
        <v/>
      </c>
      <c r="J125" s="57"/>
      <c r="K125" s="58"/>
    </row>
    <row r="126" spans="1:11" ht="15" customHeight="1" x14ac:dyDescent="0.25">
      <c r="A126" s="74"/>
      <c r="B126" s="62"/>
      <c r="C126" s="63"/>
      <c r="D126" s="62"/>
      <c r="E126" s="62"/>
      <c r="F126" s="64"/>
      <c r="G126" s="62"/>
      <c r="H126" s="63"/>
      <c r="I126" s="104" t="str">
        <f t="shared" si="3"/>
        <v/>
      </c>
      <c r="J126" s="62"/>
      <c r="K126" s="63"/>
    </row>
    <row r="127" spans="1:11" ht="15" customHeight="1" x14ac:dyDescent="0.25">
      <c r="A127" s="72"/>
      <c r="B127" s="57"/>
      <c r="C127" s="58"/>
      <c r="D127" s="57"/>
      <c r="E127" s="57"/>
      <c r="F127" s="59"/>
      <c r="G127" s="57"/>
      <c r="H127" s="58"/>
      <c r="I127" s="103" t="str">
        <f t="shared" si="3"/>
        <v/>
      </c>
      <c r="J127" s="57"/>
      <c r="K127" s="58"/>
    </row>
    <row r="128" spans="1:11" ht="15" customHeight="1" x14ac:dyDescent="0.25">
      <c r="A128" s="74"/>
      <c r="B128" s="62"/>
      <c r="C128" s="63"/>
      <c r="D128" s="62"/>
      <c r="E128" s="62"/>
      <c r="F128" s="64"/>
      <c r="G128" s="62"/>
      <c r="H128" s="63"/>
      <c r="I128" s="104" t="str">
        <f t="shared" si="3"/>
        <v/>
      </c>
      <c r="J128" s="62"/>
      <c r="K128" s="63"/>
    </row>
    <row r="129" spans="1:11" ht="15" customHeight="1" x14ac:dyDescent="0.25">
      <c r="A129" s="72"/>
      <c r="B129" s="57"/>
      <c r="C129" s="58"/>
      <c r="D129" s="57"/>
      <c r="E129" s="57"/>
      <c r="F129" s="59"/>
      <c r="G129" s="57"/>
      <c r="H129" s="58"/>
      <c r="I129" s="103" t="str">
        <f t="shared" si="3"/>
        <v/>
      </c>
      <c r="J129" s="57"/>
      <c r="K129" s="58"/>
    </row>
    <row r="130" spans="1:11" ht="15" customHeight="1" x14ac:dyDescent="0.25">
      <c r="A130" s="74"/>
      <c r="B130" s="62"/>
      <c r="C130" s="63"/>
      <c r="D130" s="62"/>
      <c r="E130" s="62"/>
      <c r="F130" s="64"/>
      <c r="G130" s="62"/>
      <c r="H130" s="63"/>
      <c r="I130" s="104" t="str">
        <f t="shared" si="3"/>
        <v/>
      </c>
      <c r="J130" s="62"/>
      <c r="K130" s="63"/>
    </row>
    <row r="131" spans="1:11" ht="15" customHeight="1" x14ac:dyDescent="0.25">
      <c r="A131" s="72"/>
      <c r="B131" s="57"/>
      <c r="C131" s="58"/>
      <c r="D131" s="57"/>
      <c r="E131" s="57"/>
      <c r="F131" s="59"/>
      <c r="G131" s="57"/>
      <c r="H131" s="58"/>
      <c r="I131" s="103" t="str">
        <f t="shared" si="3"/>
        <v/>
      </c>
      <c r="J131" s="57"/>
      <c r="K131" s="58"/>
    </row>
    <row r="132" spans="1:11" ht="15" customHeight="1" x14ac:dyDescent="0.25">
      <c r="A132" s="74"/>
      <c r="B132" s="62"/>
      <c r="C132" s="63"/>
      <c r="D132" s="62"/>
      <c r="E132" s="62"/>
      <c r="F132" s="64"/>
      <c r="G132" s="62"/>
      <c r="H132" s="63"/>
      <c r="I132" s="104" t="str">
        <f t="shared" si="3"/>
        <v/>
      </c>
      <c r="J132" s="62"/>
      <c r="K132" s="63"/>
    </row>
    <row r="133" spans="1:11" ht="15" customHeight="1" x14ac:dyDescent="0.25">
      <c r="A133" s="72"/>
      <c r="B133" s="57"/>
      <c r="C133" s="58"/>
      <c r="D133" s="57"/>
      <c r="E133" s="57"/>
      <c r="F133" s="59"/>
      <c r="G133" s="57"/>
      <c r="H133" s="58"/>
      <c r="I133" s="103" t="str">
        <f t="shared" si="3"/>
        <v/>
      </c>
      <c r="J133" s="57"/>
      <c r="K133" s="58"/>
    </row>
    <row r="134" spans="1:11" ht="15" customHeight="1" x14ac:dyDescent="0.25">
      <c r="A134" s="74"/>
      <c r="B134" s="62"/>
      <c r="C134" s="63"/>
      <c r="D134" s="62"/>
      <c r="E134" s="62"/>
      <c r="F134" s="64"/>
      <c r="G134" s="62"/>
      <c r="H134" s="63"/>
      <c r="I134" s="104" t="str">
        <f t="shared" ref="I134:I154" si="4">IF(F134="","",IF(I133="",F134,I133+F134))</f>
        <v/>
      </c>
      <c r="J134" s="62"/>
      <c r="K134" s="63"/>
    </row>
    <row r="135" spans="1:11" ht="15" customHeight="1" x14ac:dyDescent="0.25">
      <c r="A135" s="72"/>
      <c r="B135" s="57"/>
      <c r="C135" s="58"/>
      <c r="D135" s="57"/>
      <c r="E135" s="57"/>
      <c r="F135" s="59"/>
      <c r="G135" s="57"/>
      <c r="H135" s="58"/>
      <c r="I135" s="103" t="str">
        <f t="shared" si="4"/>
        <v/>
      </c>
      <c r="J135" s="57"/>
      <c r="K135" s="58"/>
    </row>
    <row r="136" spans="1:11" ht="15" customHeight="1" x14ac:dyDescent="0.25">
      <c r="A136" s="74"/>
      <c r="B136" s="62"/>
      <c r="C136" s="63"/>
      <c r="D136" s="62"/>
      <c r="E136" s="62"/>
      <c r="F136" s="64"/>
      <c r="G136" s="62"/>
      <c r="H136" s="63"/>
      <c r="I136" s="104" t="str">
        <f t="shared" si="4"/>
        <v/>
      </c>
      <c r="J136" s="62"/>
      <c r="K136" s="63"/>
    </row>
    <row r="137" spans="1:11" ht="15" customHeight="1" x14ac:dyDescent="0.25">
      <c r="A137" s="72"/>
      <c r="B137" s="57"/>
      <c r="C137" s="58"/>
      <c r="D137" s="57"/>
      <c r="E137" s="57"/>
      <c r="F137" s="59"/>
      <c r="G137" s="57"/>
      <c r="H137" s="58"/>
      <c r="I137" s="103" t="str">
        <f t="shared" si="4"/>
        <v/>
      </c>
      <c r="J137" s="57"/>
      <c r="K137" s="58"/>
    </row>
    <row r="138" spans="1:11" ht="15" customHeight="1" x14ac:dyDescent="0.25">
      <c r="A138" s="74"/>
      <c r="B138" s="62"/>
      <c r="C138" s="63"/>
      <c r="D138" s="62"/>
      <c r="E138" s="62"/>
      <c r="F138" s="64"/>
      <c r="G138" s="62"/>
      <c r="H138" s="63"/>
      <c r="I138" s="104" t="str">
        <f t="shared" si="4"/>
        <v/>
      </c>
      <c r="J138" s="62"/>
      <c r="K138" s="63"/>
    </row>
    <row r="139" spans="1:11" ht="15" customHeight="1" x14ac:dyDescent="0.25">
      <c r="A139" s="72"/>
      <c r="B139" s="57"/>
      <c r="C139" s="58"/>
      <c r="D139" s="57"/>
      <c r="E139" s="57"/>
      <c r="F139" s="59"/>
      <c r="G139" s="57"/>
      <c r="H139" s="58"/>
      <c r="I139" s="103" t="str">
        <f t="shared" si="4"/>
        <v/>
      </c>
      <c r="J139" s="57"/>
      <c r="K139" s="58"/>
    </row>
    <row r="140" spans="1:11" ht="15" customHeight="1" x14ac:dyDescent="0.25">
      <c r="A140" s="74"/>
      <c r="B140" s="62"/>
      <c r="C140" s="63"/>
      <c r="D140" s="62"/>
      <c r="E140" s="62"/>
      <c r="F140" s="64"/>
      <c r="G140" s="62"/>
      <c r="H140" s="63"/>
      <c r="I140" s="104" t="str">
        <f t="shared" si="4"/>
        <v/>
      </c>
      <c r="J140" s="62"/>
      <c r="K140" s="63"/>
    </row>
    <row r="141" spans="1:11" ht="15" customHeight="1" x14ac:dyDescent="0.25">
      <c r="A141" s="72"/>
      <c r="B141" s="57"/>
      <c r="C141" s="58"/>
      <c r="D141" s="57"/>
      <c r="E141" s="57"/>
      <c r="F141" s="59"/>
      <c r="G141" s="57"/>
      <c r="H141" s="58"/>
      <c r="I141" s="103" t="str">
        <f t="shared" si="4"/>
        <v/>
      </c>
      <c r="J141" s="57"/>
      <c r="K141" s="58"/>
    </row>
    <row r="142" spans="1:11" ht="15" customHeight="1" x14ac:dyDescent="0.25">
      <c r="A142" s="74"/>
      <c r="B142" s="62"/>
      <c r="C142" s="63"/>
      <c r="D142" s="62"/>
      <c r="E142" s="62"/>
      <c r="F142" s="64"/>
      <c r="G142" s="62"/>
      <c r="H142" s="63"/>
      <c r="I142" s="104" t="str">
        <f t="shared" si="4"/>
        <v/>
      </c>
      <c r="J142" s="62"/>
      <c r="K142" s="63"/>
    </row>
    <row r="143" spans="1:11" ht="15" customHeight="1" x14ac:dyDescent="0.25">
      <c r="A143" s="72"/>
      <c r="B143" s="57"/>
      <c r="C143" s="58"/>
      <c r="D143" s="57"/>
      <c r="E143" s="57"/>
      <c r="F143" s="59"/>
      <c r="G143" s="57"/>
      <c r="H143" s="58"/>
      <c r="I143" s="103" t="str">
        <f t="shared" si="4"/>
        <v/>
      </c>
      <c r="J143" s="57"/>
      <c r="K143" s="58"/>
    </row>
    <row r="144" spans="1:11" ht="15" customHeight="1" x14ac:dyDescent="0.25">
      <c r="A144" s="74"/>
      <c r="B144" s="62"/>
      <c r="C144" s="63"/>
      <c r="D144" s="62"/>
      <c r="E144" s="62"/>
      <c r="F144" s="64"/>
      <c r="G144" s="62"/>
      <c r="H144" s="63"/>
      <c r="I144" s="104" t="str">
        <f t="shared" si="4"/>
        <v/>
      </c>
      <c r="J144" s="62"/>
      <c r="K144" s="63"/>
    </row>
    <row r="145" spans="1:11" ht="15" customHeight="1" x14ac:dyDescent="0.25">
      <c r="A145" s="72"/>
      <c r="B145" s="57"/>
      <c r="C145" s="58"/>
      <c r="D145" s="57"/>
      <c r="E145" s="57"/>
      <c r="F145" s="59"/>
      <c r="G145" s="57"/>
      <c r="H145" s="58"/>
      <c r="I145" s="103" t="str">
        <f t="shared" si="4"/>
        <v/>
      </c>
      <c r="J145" s="57"/>
      <c r="K145" s="58"/>
    </row>
    <row r="146" spans="1:11" ht="15" customHeight="1" x14ac:dyDescent="0.25">
      <c r="A146" s="74"/>
      <c r="B146" s="62"/>
      <c r="C146" s="63"/>
      <c r="D146" s="62"/>
      <c r="E146" s="62"/>
      <c r="F146" s="64"/>
      <c r="G146" s="62"/>
      <c r="H146" s="63"/>
      <c r="I146" s="104" t="str">
        <f t="shared" si="4"/>
        <v/>
      </c>
      <c r="J146" s="62"/>
      <c r="K146" s="63"/>
    </row>
    <row r="147" spans="1:11" ht="15" customHeight="1" x14ac:dyDescent="0.25">
      <c r="A147" s="72"/>
      <c r="B147" s="57"/>
      <c r="C147" s="58"/>
      <c r="D147" s="57"/>
      <c r="E147" s="57"/>
      <c r="F147" s="59"/>
      <c r="G147" s="57"/>
      <c r="H147" s="58"/>
      <c r="I147" s="103" t="str">
        <f t="shared" si="4"/>
        <v/>
      </c>
      <c r="J147" s="57"/>
      <c r="K147" s="58"/>
    </row>
    <row r="148" spans="1:11" ht="15" customHeight="1" x14ac:dyDescent="0.25">
      <c r="A148" s="74"/>
      <c r="B148" s="62"/>
      <c r="C148" s="63"/>
      <c r="D148" s="62"/>
      <c r="E148" s="62"/>
      <c r="F148" s="64"/>
      <c r="G148" s="62"/>
      <c r="H148" s="63"/>
      <c r="I148" s="104" t="str">
        <f t="shared" si="4"/>
        <v/>
      </c>
      <c r="J148" s="62"/>
      <c r="K148" s="63"/>
    </row>
    <row r="149" spans="1:11" ht="15" customHeight="1" x14ac:dyDescent="0.25">
      <c r="A149" s="72"/>
      <c r="B149" s="57"/>
      <c r="C149" s="58"/>
      <c r="D149" s="57"/>
      <c r="E149" s="57"/>
      <c r="F149" s="59"/>
      <c r="G149" s="57"/>
      <c r="H149" s="58"/>
      <c r="I149" s="103" t="str">
        <f t="shared" si="4"/>
        <v/>
      </c>
      <c r="J149" s="57"/>
      <c r="K149" s="58"/>
    </row>
    <row r="150" spans="1:11" ht="15" customHeight="1" x14ac:dyDescent="0.25">
      <c r="A150" s="74"/>
      <c r="B150" s="62"/>
      <c r="C150" s="63"/>
      <c r="D150" s="62"/>
      <c r="E150" s="62"/>
      <c r="F150" s="64"/>
      <c r="G150" s="62"/>
      <c r="H150" s="63"/>
      <c r="I150" s="104" t="str">
        <f t="shared" si="4"/>
        <v/>
      </c>
      <c r="J150" s="62"/>
      <c r="K150" s="63"/>
    </row>
    <row r="151" spans="1:11" ht="15" customHeight="1" x14ac:dyDescent="0.25">
      <c r="A151" s="72"/>
      <c r="B151" s="57"/>
      <c r="C151" s="58"/>
      <c r="D151" s="57"/>
      <c r="E151" s="57"/>
      <c r="F151" s="59"/>
      <c r="G151" s="57"/>
      <c r="H151" s="58"/>
      <c r="I151" s="103" t="str">
        <f t="shared" si="4"/>
        <v/>
      </c>
      <c r="J151" s="57"/>
      <c r="K151" s="58"/>
    </row>
    <row r="152" spans="1:11" ht="15" customHeight="1" x14ac:dyDescent="0.25">
      <c r="A152" s="74"/>
      <c r="B152" s="62"/>
      <c r="C152" s="63"/>
      <c r="D152" s="62"/>
      <c r="E152" s="62"/>
      <c r="F152" s="64"/>
      <c r="G152" s="62"/>
      <c r="H152" s="63"/>
      <c r="I152" s="104" t="str">
        <f t="shared" si="4"/>
        <v/>
      </c>
      <c r="J152" s="62"/>
      <c r="K152" s="63"/>
    </row>
    <row r="153" spans="1:11" ht="15" customHeight="1" x14ac:dyDescent="0.25">
      <c r="A153" s="72"/>
      <c r="B153" s="57"/>
      <c r="C153" s="58"/>
      <c r="D153" s="57"/>
      <c r="E153" s="57"/>
      <c r="F153" s="59"/>
      <c r="G153" s="57"/>
      <c r="H153" s="58"/>
      <c r="I153" s="103" t="str">
        <f t="shared" si="4"/>
        <v/>
      </c>
      <c r="J153" s="57"/>
      <c r="K153" s="58"/>
    </row>
    <row r="154" spans="1:11" ht="15" customHeight="1" x14ac:dyDescent="0.25">
      <c r="A154" s="74"/>
      <c r="B154" s="62"/>
      <c r="C154" s="63"/>
      <c r="D154" s="62"/>
      <c r="E154" s="62"/>
      <c r="F154" s="64"/>
      <c r="G154" s="62"/>
      <c r="H154" s="63"/>
      <c r="I154" s="104" t="str">
        <f t="shared" si="4"/>
        <v/>
      </c>
      <c r="J154" s="62"/>
      <c r="K154" s="63"/>
    </row>
    <row r="157" spans="1:11" ht="25.5" customHeight="1" x14ac:dyDescent="0.25">
      <c r="A157" s="140" t="s">
        <v>186</v>
      </c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</row>
    <row r="158" spans="1:11" ht="23.25" customHeight="1" x14ac:dyDescent="0.25">
      <c r="A158" s="15" t="s">
        <v>180</v>
      </c>
      <c r="B158" s="15" t="s">
        <v>187</v>
      </c>
      <c r="C158" s="15" t="s">
        <v>188</v>
      </c>
      <c r="D158" s="15" t="s">
        <v>189</v>
      </c>
      <c r="E158" s="15" t="s">
        <v>190</v>
      </c>
      <c r="F158" s="15" t="s">
        <v>191</v>
      </c>
      <c r="G158" s="15" t="s">
        <v>192</v>
      </c>
      <c r="H158" s="15" t="s">
        <v>193</v>
      </c>
      <c r="I158" s="15" t="s">
        <v>194</v>
      </c>
      <c r="J158" s="15" t="s">
        <v>195</v>
      </c>
      <c r="K158" s="15" t="s">
        <v>36</v>
      </c>
    </row>
    <row r="159" spans="1:11" ht="15" customHeight="1" x14ac:dyDescent="0.25">
      <c r="A159" s="76" t="s">
        <v>196</v>
      </c>
      <c r="B159" s="72">
        <v>46133</v>
      </c>
      <c r="C159" s="77">
        <f>COUNTIF(E5:E154,"Wk 1 (21 Apr)")</f>
        <v>2</v>
      </c>
      <c r="D159" s="78">
        <f>SUMPRODUCT((E5:E154="Wk 1 (21 Apr)")*(G5:G154="Cash")*(F5:F154))</f>
        <v>0</v>
      </c>
      <c r="E159" s="78">
        <f>SUMPRODUCT((E5:E154="Wk 1 (21 Apr)")*((G5:G154="MTN MoMo")+(G5:G154="Vodafone Cash")+(G5:G154="AirtelTigo Money"))*(F5:F154))</f>
        <v>0</v>
      </c>
      <c r="F159" s="78">
        <f>SUMPRODUCT((E5:E154="Wk 1 (21 Apr)")*(G5:G154="Bank Transfer")*(F5:F154))</f>
        <v>2550</v>
      </c>
      <c r="G159" s="78">
        <f>SUMPRODUCT((E5:E154="Wk 1 (21 Apr)")*(G5:G154="Cheque")*(F5:F154))</f>
        <v>0</v>
      </c>
      <c r="H159" s="79">
        <f t="shared" ref="H159:H172" si="5">SUM(D159:G159)</f>
        <v>2550</v>
      </c>
      <c r="I159" s="60">
        <f>H159</f>
        <v>2550</v>
      </c>
      <c r="J159" s="77"/>
      <c r="K159" s="80"/>
    </row>
    <row r="160" spans="1:11" ht="15" customHeight="1" x14ac:dyDescent="0.25">
      <c r="A160" s="81" t="s">
        <v>197</v>
      </c>
      <c r="B160" s="74">
        <v>46140</v>
      </c>
      <c r="C160" s="82">
        <f>COUNTIF(E5:E154,"Wk 2 (28 Apr)")</f>
        <v>2</v>
      </c>
      <c r="D160" s="83">
        <f>SUMPRODUCT((E5:E154="Wk 2 (28 Apr)")*(G5:G154="Cash")*(F5:F154))</f>
        <v>2550</v>
      </c>
      <c r="E160" s="83">
        <f>SUMPRODUCT((E5:E154="Wk 2 (28 Apr)")*((G5:G154="MTN MoMo")+(G5:G154="Vodafone Cash")+(G5:G154="AirtelTigo Money"))*(F5:F154))</f>
        <v>0</v>
      </c>
      <c r="F160" s="83">
        <f>SUMPRODUCT((E5:E154="Wk 2 (28 Apr)")*(G5:G154="Bank Transfer")*(F5:F154))</f>
        <v>2550</v>
      </c>
      <c r="G160" s="83">
        <f>SUMPRODUCT((E5:E154="Wk 2 (28 Apr)")*(G5:G154="Cheque")*(F5:F154))</f>
        <v>0</v>
      </c>
      <c r="H160" s="84">
        <f t="shared" si="5"/>
        <v>5100</v>
      </c>
      <c r="I160" s="65">
        <f t="shared" ref="I160:I172" si="6">I159+H160</f>
        <v>7650</v>
      </c>
      <c r="J160" s="82"/>
      <c r="K160" s="85"/>
    </row>
    <row r="161" spans="1:11" ht="15" customHeight="1" x14ac:dyDescent="0.25">
      <c r="A161" s="76" t="s">
        <v>198</v>
      </c>
      <c r="B161" s="72">
        <v>46147</v>
      </c>
      <c r="C161" s="77">
        <f>COUNTIF(E5:E154,"Wk 3 (05 May)")</f>
        <v>1</v>
      </c>
      <c r="D161" s="78">
        <f>SUMPRODUCT((E5:E154="Wk 3 (05 May)")*(G5:G154="Cash")*(F5:F154))</f>
        <v>0</v>
      </c>
      <c r="E161" s="78">
        <f>SUMPRODUCT((E5:E154="Wk 3 (05 May)")*((G5:G154="MTN MoMo")+(G5:G154="Vodafone Cash")+(G5:G154="AirtelTigo Money"))*(F5:F154))</f>
        <v>1500</v>
      </c>
      <c r="F161" s="78">
        <f>SUMPRODUCT((E5:E154="Wk 3 (05 May)")*(G5:G154="Bank Transfer")*(F5:F154))</f>
        <v>0</v>
      </c>
      <c r="G161" s="78">
        <f>SUMPRODUCT((E5:E154="Wk 3 (05 May)")*(G5:G154="Cheque")*(F5:F154))</f>
        <v>0</v>
      </c>
      <c r="H161" s="79">
        <f t="shared" si="5"/>
        <v>1500</v>
      </c>
      <c r="I161" s="60">
        <f t="shared" si="6"/>
        <v>9150</v>
      </c>
      <c r="J161" s="77"/>
      <c r="K161" s="80"/>
    </row>
    <row r="162" spans="1:11" ht="15" customHeight="1" x14ac:dyDescent="0.25">
      <c r="A162" s="81" t="s">
        <v>199</v>
      </c>
      <c r="B162" s="74">
        <v>46154</v>
      </c>
      <c r="C162" s="82">
        <f>COUNTIF(E5:E154,"Wk 4 (12 May)")</f>
        <v>0</v>
      </c>
      <c r="D162" s="83">
        <f>SUMPRODUCT((E5:E154="Wk 4 (12 May)")*(G5:G154="Cash")*(F5:F154))</f>
        <v>0</v>
      </c>
      <c r="E162" s="83">
        <f>SUMPRODUCT((E5:E154="Wk 4 (12 May)")*((G5:G154="MTN MoMo")+(G5:G154="Vodafone Cash")+(G5:G154="AirtelTigo Money"))*(F5:F154))</f>
        <v>0</v>
      </c>
      <c r="F162" s="83">
        <f>SUMPRODUCT((E5:E154="Wk 4 (12 May)")*(G5:G154="Bank Transfer")*(F5:F154))</f>
        <v>0</v>
      </c>
      <c r="G162" s="83">
        <f>SUMPRODUCT((E5:E154="Wk 4 (12 May)")*(G5:G154="Cheque")*(F5:F154))</f>
        <v>0</v>
      </c>
      <c r="H162" s="84">
        <f t="shared" si="5"/>
        <v>0</v>
      </c>
      <c r="I162" s="65">
        <f t="shared" si="6"/>
        <v>9150</v>
      </c>
      <c r="J162" s="82"/>
      <c r="K162" s="85"/>
    </row>
    <row r="163" spans="1:11" ht="15" customHeight="1" x14ac:dyDescent="0.25">
      <c r="A163" s="76" t="s">
        <v>200</v>
      </c>
      <c r="B163" s="72">
        <v>46161</v>
      </c>
      <c r="C163" s="77">
        <f>COUNTIF(E5:E154,"Wk 5 (19 May)")</f>
        <v>0</v>
      </c>
      <c r="D163" s="78">
        <f>SUMPRODUCT((E5:E154="Wk 5 (19 May)")*(G5:G154="Cash")*(F5:F154))</f>
        <v>0</v>
      </c>
      <c r="E163" s="78">
        <f>SUMPRODUCT((E5:E154="Wk 5 (19 May)")*((G5:G154="MTN MoMo")+(G5:G154="Vodafone Cash")+(G5:G154="AirtelTigo Money"))*(F5:F154))</f>
        <v>0</v>
      </c>
      <c r="F163" s="78">
        <f>SUMPRODUCT((E5:E154="Wk 5 (19 May)")*(G5:G154="Bank Transfer")*(F5:F154))</f>
        <v>0</v>
      </c>
      <c r="G163" s="78">
        <f>SUMPRODUCT((E5:E154="Wk 5 (19 May)")*(G5:G154="Cheque")*(F5:F154))</f>
        <v>0</v>
      </c>
      <c r="H163" s="79">
        <f t="shared" si="5"/>
        <v>0</v>
      </c>
      <c r="I163" s="60">
        <f t="shared" si="6"/>
        <v>9150</v>
      </c>
      <c r="J163" s="77"/>
      <c r="K163" s="80"/>
    </row>
    <row r="164" spans="1:11" ht="15" customHeight="1" x14ac:dyDescent="0.25">
      <c r="A164" s="81" t="s">
        <v>201</v>
      </c>
      <c r="B164" s="74">
        <v>46168</v>
      </c>
      <c r="C164" s="82">
        <f>COUNTIF(E5:E154,"Wk 6 (26 May)")</f>
        <v>2</v>
      </c>
      <c r="D164" s="83">
        <f>SUMPRODUCT((E5:E154="Wk 6 (26 May)")*(G5:G154="Cash")*(F5:F154))</f>
        <v>0</v>
      </c>
      <c r="E164" s="83">
        <f>SUMPRODUCT((E5:E154="Wk 6 (26 May)")*((G5:G154="MTN MoMo")+(G5:G154="Vodafone Cash")+(G5:G154="AirtelTigo Money"))*(F5:F154))</f>
        <v>2000</v>
      </c>
      <c r="F164" s="83">
        <f>SUMPRODUCT((E5:E154="Wk 6 (26 May)")*(G5:G154="Bank Transfer")*(F5:F154))</f>
        <v>0</v>
      </c>
      <c r="G164" s="83">
        <f>SUMPRODUCT((E5:E154="Wk 6 (26 May)")*(G5:G154="Cheque")*(F5:F154))</f>
        <v>0</v>
      </c>
      <c r="H164" s="84">
        <f t="shared" si="5"/>
        <v>2000</v>
      </c>
      <c r="I164" s="65">
        <f t="shared" si="6"/>
        <v>11150</v>
      </c>
      <c r="J164" s="82"/>
      <c r="K164" s="85"/>
    </row>
    <row r="165" spans="1:11" ht="15" customHeight="1" x14ac:dyDescent="0.25">
      <c r="A165" s="76" t="s">
        <v>202</v>
      </c>
      <c r="B165" s="72">
        <v>46175</v>
      </c>
      <c r="C165" s="77">
        <f>COUNTIF(E5:E154,"Wk 7 (02 Jun)")</f>
        <v>0</v>
      </c>
      <c r="D165" s="78">
        <f>SUMPRODUCT((E5:E154="Wk 7 (02 Jun)")*(G5:G154="Cash")*(F5:F154))</f>
        <v>0</v>
      </c>
      <c r="E165" s="78">
        <f>SUMPRODUCT((E5:E154="Wk 7 (02 Jun)")*((G5:G154="MTN MoMo")+(G5:G154="Vodafone Cash")+(G5:G154="AirtelTigo Money"))*(F5:F154))</f>
        <v>0</v>
      </c>
      <c r="F165" s="78">
        <f>SUMPRODUCT((E5:E154="Wk 7 (02 Jun)")*(G5:G154="Bank Transfer")*(F5:F154))</f>
        <v>0</v>
      </c>
      <c r="G165" s="78">
        <f>SUMPRODUCT((E5:E154="Wk 7 (02 Jun)")*(G5:G154="Cheque")*(F5:F154))</f>
        <v>0</v>
      </c>
      <c r="H165" s="79">
        <f t="shared" si="5"/>
        <v>0</v>
      </c>
      <c r="I165" s="60">
        <f t="shared" si="6"/>
        <v>11150</v>
      </c>
      <c r="J165" s="77"/>
      <c r="K165" s="80"/>
    </row>
    <row r="166" spans="1:11" ht="15" customHeight="1" x14ac:dyDescent="0.25">
      <c r="A166" s="81" t="s">
        <v>203</v>
      </c>
      <c r="B166" s="74">
        <v>46182</v>
      </c>
      <c r="C166" s="82">
        <f>COUNTIF(E5:E154,"Wk 8 (09 Jun)")</f>
        <v>0</v>
      </c>
      <c r="D166" s="83">
        <f>SUMPRODUCT((E5:E154="Wk 8 (09 Jun)")*(G5:G154="Cash")*(F5:F154))</f>
        <v>0</v>
      </c>
      <c r="E166" s="83">
        <f>SUMPRODUCT((E5:E154="Wk 8 (09 Jun)")*((G5:G154="MTN MoMo")+(G5:G154="Vodafone Cash")+(G5:G154="AirtelTigo Money"))*(F5:F154))</f>
        <v>0</v>
      </c>
      <c r="F166" s="83">
        <f>SUMPRODUCT((E5:E154="Wk 8 (09 Jun)")*(G5:G154="Bank Transfer")*(F5:F154))</f>
        <v>0</v>
      </c>
      <c r="G166" s="83">
        <f>SUMPRODUCT((E5:E154="Wk 8 (09 Jun)")*(G5:G154="Cheque")*(F5:F154))</f>
        <v>0</v>
      </c>
      <c r="H166" s="84">
        <f t="shared" si="5"/>
        <v>0</v>
      </c>
      <c r="I166" s="65">
        <f t="shared" si="6"/>
        <v>11150</v>
      </c>
      <c r="J166" s="82"/>
      <c r="K166" s="85"/>
    </row>
    <row r="167" spans="1:11" ht="15" customHeight="1" x14ac:dyDescent="0.25">
      <c r="A167" s="76" t="s">
        <v>204</v>
      </c>
      <c r="B167" s="72">
        <v>46189</v>
      </c>
      <c r="C167" s="77">
        <f>COUNTIF(E5:E154,"Wk 9 (16 Jun)")</f>
        <v>0</v>
      </c>
      <c r="D167" s="78">
        <f>SUMPRODUCT((E5:E154="Wk 9 (16 Jun)")*(G5:G154="Cash")*(F5:F154))</f>
        <v>0</v>
      </c>
      <c r="E167" s="78">
        <f>SUMPRODUCT((E5:E154="Wk 9 (16 Jun)")*((G5:G154="MTN MoMo")+(G5:G154="Vodafone Cash")+(G5:G154="AirtelTigo Money"))*(F5:F154))</f>
        <v>0</v>
      </c>
      <c r="F167" s="78">
        <f>SUMPRODUCT((E5:E154="Wk 9 (16 Jun)")*(G5:G154="Bank Transfer")*(F5:F154))</f>
        <v>0</v>
      </c>
      <c r="G167" s="78">
        <f>SUMPRODUCT((E5:E154="Wk 9 (16 Jun)")*(G5:G154="Cheque")*(F5:F154))</f>
        <v>0</v>
      </c>
      <c r="H167" s="79">
        <f t="shared" si="5"/>
        <v>0</v>
      </c>
      <c r="I167" s="60">
        <f t="shared" si="6"/>
        <v>11150</v>
      </c>
      <c r="J167" s="77"/>
      <c r="K167" s="80"/>
    </row>
    <row r="168" spans="1:11" ht="21.75" customHeight="1" x14ac:dyDescent="0.25">
      <c r="A168" s="81" t="s">
        <v>205</v>
      </c>
      <c r="B168" s="74">
        <v>46196</v>
      </c>
      <c r="C168" s="82">
        <f>COUNTIF(E5:E154,"Wk 10 (23 Jun)")</f>
        <v>2</v>
      </c>
      <c r="D168" s="83">
        <f>SUMPRODUCT((E5:E154="Wk 10 (23 Jun)")*(G5:G154="Cash")*(F5:F154))</f>
        <v>1500</v>
      </c>
      <c r="E168" s="83">
        <f>SUMPRODUCT((E5:E154="Wk 10 (23 Jun)")*((G5:G154="MTN MoMo")+(G5:G154="Vodafone Cash")+(G5:G154="AirtelTigo Money"))*(F5:F154))</f>
        <v>1000</v>
      </c>
      <c r="F168" s="83">
        <f>SUMPRODUCT((E5:E154="Wk 10 (23 Jun)")*(G5:G154="Bank Transfer")*(F5:F154))</f>
        <v>0</v>
      </c>
      <c r="G168" s="83">
        <f>SUMPRODUCT((E5:E154="Wk 10 (23 Jun)")*(G5:G154="Cheque")*(F5:F154))</f>
        <v>0</v>
      </c>
      <c r="H168" s="84">
        <f t="shared" si="5"/>
        <v>2500</v>
      </c>
      <c r="I168" s="65">
        <f t="shared" si="6"/>
        <v>13650</v>
      </c>
      <c r="J168" s="82"/>
      <c r="K168" s="85"/>
    </row>
    <row r="169" spans="1:11" ht="21.75" customHeight="1" x14ac:dyDescent="0.25">
      <c r="A169" s="76" t="s">
        <v>206</v>
      </c>
      <c r="B169" s="72">
        <v>46203</v>
      </c>
      <c r="C169" s="77">
        <f>COUNTIF(E5:E154,"Wk 11 (30 Jun)")</f>
        <v>1</v>
      </c>
      <c r="D169" s="78">
        <f>SUMPRODUCT((E5:E154="Wk 11 (30 Jun)")*(G5:G154="Cash")*(F5:F154))</f>
        <v>0</v>
      </c>
      <c r="E169" s="78">
        <f>SUMPRODUCT((E5:E154="Wk 11 (30 Jun)")*((G5:G154="MTN MoMo")+(G5:G154="Vodafone Cash")+(G5:G154="AirtelTigo Money"))*(F5:F154))</f>
        <v>680</v>
      </c>
      <c r="F169" s="78">
        <f>SUMPRODUCT((E5:E154="Wk 11 (30 Jun)")*(G5:G154="Bank Transfer")*(F5:F154))</f>
        <v>0</v>
      </c>
      <c r="G169" s="78">
        <f>SUMPRODUCT((E5:E154="Wk 11 (30 Jun)")*(G5:G154="Cheque")*(F5:F154))</f>
        <v>0</v>
      </c>
      <c r="H169" s="79">
        <f t="shared" si="5"/>
        <v>680</v>
      </c>
      <c r="I169" s="60">
        <f t="shared" si="6"/>
        <v>14330</v>
      </c>
      <c r="J169" s="77"/>
      <c r="K169" s="80"/>
    </row>
    <row r="170" spans="1:11" ht="18.75" customHeight="1" x14ac:dyDescent="0.25">
      <c r="A170" s="81" t="s">
        <v>207</v>
      </c>
      <c r="B170" s="74">
        <v>46210</v>
      </c>
      <c r="C170" s="82">
        <f>COUNTIF(E5:E154,"Wk 12 (07 Jul)")</f>
        <v>2</v>
      </c>
      <c r="D170" s="83">
        <f>SUMPRODUCT((E5:E154="Wk 12 (07 Jul)")*(G5:G154="Cash")*(F5:F154))</f>
        <v>1500</v>
      </c>
      <c r="E170" s="83">
        <f>SUMPRODUCT((E5:E154="Wk 12 (07 Jul)")*((G5:G154="MTN MoMo")+(G5:G154="Vodafone Cash")+(G5:G154="AirtelTigo Money"))*(F5:F154))</f>
        <v>1500</v>
      </c>
      <c r="F170" s="83">
        <f>SUMPRODUCT((E5:E154="Wk 12 (07 Jul)")*(G5:G154="Bank Transfer")*(F5:F154))</f>
        <v>0</v>
      </c>
      <c r="G170" s="83">
        <f>SUMPRODUCT((E5:E154="Wk 12 (07 Jul)")*(G5:G154="Cheque")*(F5:F154))</f>
        <v>0</v>
      </c>
      <c r="H170" s="84">
        <f t="shared" si="5"/>
        <v>3000</v>
      </c>
      <c r="I170" s="65">
        <f t="shared" si="6"/>
        <v>17330</v>
      </c>
      <c r="J170" s="86" t="s">
        <v>208</v>
      </c>
      <c r="K170" s="85"/>
    </row>
    <row r="171" spans="1:11" ht="18.75" customHeight="1" x14ac:dyDescent="0.25">
      <c r="A171" s="76" t="s">
        <v>209</v>
      </c>
      <c r="B171" s="72">
        <v>46217</v>
      </c>
      <c r="C171" s="77">
        <f>COUNTIF(E5:E154,"Wk 13 (14 Jul)")</f>
        <v>2</v>
      </c>
      <c r="D171" s="78">
        <f>SUMPRODUCT((E5:E154="Wk 13 (14 Jul)")*(G5:G154="Cash")*(F5:F154))</f>
        <v>1300</v>
      </c>
      <c r="E171" s="78">
        <f>SUMPRODUCT((E5:E154="Wk 13 (14 Jul)")*((G5:G154="MTN MoMo")+(G5:G154="Vodafone Cash")+(G5:G154="AirtelTigo Money"))*(F5:F154))</f>
        <v>0</v>
      </c>
      <c r="F171" s="78">
        <f>SUMPRODUCT((E5:E154="Wk 13 (14 Jul)")*(G5:G154="Bank Transfer")*(F5:F154))</f>
        <v>0</v>
      </c>
      <c r="G171" s="78">
        <f>SUMPRODUCT((E5:E154="Wk 13 (14 Jul)")*(G5:G154="Cheque")*(F5:F154))</f>
        <v>0</v>
      </c>
      <c r="H171" s="79">
        <f t="shared" si="5"/>
        <v>1300</v>
      </c>
      <c r="I171" s="60">
        <f t="shared" si="6"/>
        <v>18630</v>
      </c>
      <c r="J171" s="87" t="s">
        <v>208</v>
      </c>
      <c r="K171" s="80"/>
    </row>
    <row r="172" spans="1:11" ht="18.75" customHeight="1" x14ac:dyDescent="0.25">
      <c r="A172" s="81" t="s">
        <v>210</v>
      </c>
      <c r="B172" s="74">
        <v>46224</v>
      </c>
      <c r="C172" s="82">
        <f>COUNTIF(E5:E154,"Wk 14 (21 Jul)")</f>
        <v>2</v>
      </c>
      <c r="D172" s="83">
        <f>SUMPRODUCT((E5:E154="Wk 14 (21 Jul)")*(G5:G154="Cash")*(F5:F154))</f>
        <v>1000</v>
      </c>
      <c r="E172" s="83">
        <f>SUMPRODUCT((E5:E154="Wk 14 (21 Jul)")*((G5:G154="MTN MoMo")+(G5:G154="Vodafone Cash")+(G5:G154="AirtelTigo Money"))*(F5:F154))</f>
        <v>722.5</v>
      </c>
      <c r="F172" s="83">
        <f>SUMPRODUCT((E5:E154="Wk 14 (21 Jul)")*(G5:G154="Bank Transfer")*(F5:F154))</f>
        <v>0</v>
      </c>
      <c r="G172" s="83">
        <f>SUMPRODUCT((E5:E154="Wk 14 (21 Jul)")*(G5:G154="Cheque")*(F5:F154))</f>
        <v>0</v>
      </c>
      <c r="H172" s="84">
        <f t="shared" si="5"/>
        <v>1722.5</v>
      </c>
      <c r="I172" s="65">
        <f t="shared" si="6"/>
        <v>20352.5</v>
      </c>
      <c r="J172" s="86" t="s">
        <v>208</v>
      </c>
      <c r="K172" s="85"/>
    </row>
    <row r="173" spans="1:11" ht="15" customHeight="1" x14ac:dyDescent="0.25">
      <c r="A173" s="28" t="s">
        <v>211</v>
      </c>
      <c r="B173" s="28"/>
      <c r="C173" s="88">
        <f t="shared" ref="C173:H173" si="7">SUM(C159:C172)</f>
        <v>16</v>
      </c>
      <c r="D173" s="29">
        <f t="shared" si="7"/>
        <v>7850</v>
      </c>
      <c r="E173" s="29">
        <f t="shared" si="7"/>
        <v>7402.5</v>
      </c>
      <c r="F173" s="29">
        <f t="shared" si="7"/>
        <v>5100</v>
      </c>
      <c r="G173" s="29">
        <f t="shared" si="7"/>
        <v>0</v>
      </c>
      <c r="H173" s="29">
        <f t="shared" si="7"/>
        <v>20352.5</v>
      </c>
      <c r="I173" s="28"/>
      <c r="J173" s="28"/>
      <c r="K173" s="28"/>
    </row>
    <row r="176" spans="1:11" ht="15" customHeight="1" x14ac:dyDescent="0.25">
      <c r="A176" s="140" t="s">
        <v>212</v>
      </c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</row>
    <row r="177" spans="1:11" ht="23.25" customHeight="1" x14ac:dyDescent="0.25">
      <c r="A177" s="8" t="s">
        <v>213</v>
      </c>
      <c r="B177" s="8" t="s">
        <v>214</v>
      </c>
      <c r="C177" s="8" t="s">
        <v>189</v>
      </c>
      <c r="D177" s="8" t="s">
        <v>190</v>
      </c>
      <c r="E177" s="8" t="s">
        <v>191</v>
      </c>
      <c r="F177" s="8" t="s">
        <v>192</v>
      </c>
      <c r="G177" s="8" t="s">
        <v>215</v>
      </c>
      <c r="H177" s="8" t="s">
        <v>194</v>
      </c>
      <c r="I177" s="8" t="s">
        <v>216</v>
      </c>
      <c r="J177" s="8" t="s">
        <v>217</v>
      </c>
      <c r="K177" s="8" t="s">
        <v>36</v>
      </c>
    </row>
    <row r="178" spans="1:11" ht="15" customHeight="1" x14ac:dyDescent="0.25">
      <c r="A178" s="89" t="s">
        <v>218</v>
      </c>
      <c r="B178" s="90">
        <f>SUMPRODUCT((MONTH(A5:A154)=4)*(A5:A154&lt;&gt;""))</f>
        <v>8</v>
      </c>
      <c r="C178" s="78">
        <f>SUMPRODUCT((MONTH(A5:A154)=4)*(G5:G154="Cash")*(F5:F154))</f>
        <v>3622.5</v>
      </c>
      <c r="D178" s="78">
        <f>SUMPRODUCT((MONTH(A5:A154)=4)*((G5:G154="MTN MoMo")+(G5:G154="Vodafone Cash")+(G5:G154="AirtelTigo Money"))*(F5:F154))</f>
        <v>1500</v>
      </c>
      <c r="E178" s="78">
        <f>SUMPRODUCT((MONTH(A5:A154)=4)*(G5:G154="Bank Transfer")*(F5:F154))</f>
        <v>7722.5</v>
      </c>
      <c r="F178" s="78">
        <f>SUMPRODUCT((MONTH(A5:A154)=4)*(G5:G154="Cheque")*(F5:F154))</f>
        <v>0</v>
      </c>
      <c r="G178" s="79">
        <f>SUM(C178:F178)</f>
        <v>12845</v>
      </c>
      <c r="H178" s="60">
        <f>G178</f>
        <v>12845</v>
      </c>
      <c r="I178" s="91">
        <v>0.3</v>
      </c>
      <c r="J178" s="78"/>
      <c r="K178" s="92"/>
    </row>
    <row r="179" spans="1:11" ht="15" customHeight="1" x14ac:dyDescent="0.25">
      <c r="A179" s="93" t="s">
        <v>219</v>
      </c>
      <c r="B179" s="94">
        <f>SUMPRODUCT((MONTH(A5:A154)=5)*(A5:A154&lt;&gt;""))</f>
        <v>1</v>
      </c>
      <c r="C179" s="83">
        <f>SUMPRODUCT((MONTH(A5:A154)=5)*(G5:G154="Cash")*(F5:F154))</f>
        <v>0</v>
      </c>
      <c r="D179" s="83">
        <f>SUMPRODUCT((MONTH(A5:A154)=5)*((G5:G154="MTN MoMo")+(G5:G154="Vodafone Cash")+(G5:G154="AirtelTigo Money"))*(F5:F154))</f>
        <v>1000</v>
      </c>
      <c r="E179" s="83">
        <f>SUMPRODUCT((MONTH(A5:A154)=5)*(G5:G154="Bank Transfer")*(F5:F154))</f>
        <v>0</v>
      </c>
      <c r="F179" s="83">
        <f>SUMPRODUCT((MONTH(A5:A154)=5)*(G5:G154="Cheque")*(F5:F154))</f>
        <v>0</v>
      </c>
      <c r="G179" s="84">
        <f>SUM(C179:F179)</f>
        <v>1000</v>
      </c>
      <c r="H179" s="65">
        <f>H178+G179</f>
        <v>13845</v>
      </c>
      <c r="I179" s="95">
        <v>0.65</v>
      </c>
      <c r="J179" s="83"/>
      <c r="K179" s="96"/>
    </row>
    <row r="180" spans="1:11" ht="15" customHeight="1" x14ac:dyDescent="0.25">
      <c r="A180" s="89" t="s">
        <v>220</v>
      </c>
      <c r="B180" s="90">
        <f>SUMPRODUCT((MONTH(A5:A154)=6)*(A5:A154&lt;&gt;""))</f>
        <v>3</v>
      </c>
      <c r="C180" s="78">
        <f>SUMPRODUCT((MONTH(A5:A154)=6)*(G5:G154="Cash")*(F5:F154))</f>
        <v>1500</v>
      </c>
      <c r="D180" s="78">
        <f>SUMPRODUCT((MONTH(A5:A154)=6)*((G5:G154="MTN MoMo")+(G5:G154="Vodafone Cash")+(G5:G154="AirtelTigo Money"))*(F5:F154))</f>
        <v>2000</v>
      </c>
      <c r="E180" s="78">
        <f>SUMPRODUCT((MONTH(A5:A154)=6)*(G5:G154="Bank Transfer")*(F5:F154))</f>
        <v>0</v>
      </c>
      <c r="F180" s="78">
        <f>SUMPRODUCT((MONTH(A5:A154)=6)*(G5:G154="Cheque")*(F5:F154))</f>
        <v>0</v>
      </c>
      <c r="G180" s="79">
        <f>SUM(C180:F180)</f>
        <v>3500</v>
      </c>
      <c r="H180" s="60">
        <f>H179+G180</f>
        <v>17345</v>
      </c>
      <c r="I180" s="91">
        <v>1</v>
      </c>
      <c r="J180" s="78"/>
      <c r="K180" s="92"/>
    </row>
    <row r="181" spans="1:11" ht="15" customHeight="1" x14ac:dyDescent="0.25">
      <c r="A181" s="93" t="s">
        <v>221</v>
      </c>
      <c r="B181" s="94">
        <f>SUMPRODUCT((MONTH(A5:A154)=7)*(A5:A154&lt;&gt;""))</f>
        <v>6</v>
      </c>
      <c r="C181" s="83">
        <f>SUMPRODUCT((MONTH(A5:A154)=7)*(G5:G154="Cash")*(F5:F154))</f>
        <v>3800</v>
      </c>
      <c r="D181" s="83">
        <f>SUMPRODUCT((MONTH(A5:A154)=7)*((G5:G154="MTN MoMo")+(G5:G154="Vodafone Cash")+(G5:G154="AirtelTigo Money"))*(F5:F154))</f>
        <v>1402.5</v>
      </c>
      <c r="E181" s="83">
        <f>SUMPRODUCT((MONTH(A5:A154)=7)*(G5:G154="Bank Transfer")*(F5:F154))</f>
        <v>0</v>
      </c>
      <c r="F181" s="83">
        <f>SUMPRODUCT((MONTH(A5:A154)=7)*(G5:G154="Cheque")*(F5:F154))</f>
        <v>0</v>
      </c>
      <c r="G181" s="84">
        <f>SUM(C181:F181)</f>
        <v>5202.5</v>
      </c>
      <c r="H181" s="65">
        <f>H180+G181</f>
        <v>22547.5</v>
      </c>
      <c r="I181" s="95">
        <v>1</v>
      </c>
      <c r="J181" s="83"/>
      <c r="K181" s="96"/>
    </row>
    <row r="182" spans="1:11" ht="15" customHeight="1" x14ac:dyDescent="0.25">
      <c r="A182" s="28" t="s">
        <v>222</v>
      </c>
      <c r="B182" s="88">
        <f t="shared" ref="B182:G182" si="8">SUM(B178:B181)</f>
        <v>18</v>
      </c>
      <c r="C182" s="29">
        <f t="shared" si="8"/>
        <v>8922.5</v>
      </c>
      <c r="D182" s="29">
        <f t="shared" si="8"/>
        <v>5902.5</v>
      </c>
      <c r="E182" s="29">
        <f t="shared" si="8"/>
        <v>7722.5</v>
      </c>
      <c r="F182" s="29">
        <f t="shared" si="8"/>
        <v>0</v>
      </c>
      <c r="G182" s="29">
        <f t="shared" si="8"/>
        <v>22547.5</v>
      </c>
      <c r="H182" s="28"/>
      <c r="I182" s="28"/>
      <c r="J182" s="28"/>
      <c r="K182" s="28"/>
    </row>
  </sheetData>
  <mergeCells count="7">
    <mergeCell ref="A157:K157"/>
    <mergeCell ref="A176:K176"/>
    <mergeCell ref="A1:K1"/>
    <mergeCell ref="A2:K2"/>
    <mergeCell ref="A3:F3"/>
    <mergeCell ref="G3:I3"/>
    <mergeCell ref="J3:K3"/>
  </mergeCells>
  <dataValidations count="6">
    <dataValidation type="list" allowBlank="1" showInputMessage="1" promptTitle="Pupil Name" prompt="Select the pupil making the payment" sqref="C5:C154" xr:uid="{00000000-0002-0000-0B00-000000000000}">
      <formula1>$P$1:$P$3</formula1>
      <formula2>0</formula2>
    </dataValidation>
    <dataValidation type="list" allowBlank="1" showInputMessage="1" promptTitle="Week" prompt="Select the week of payment" sqref="E5:E154" xr:uid="{00000000-0002-0000-0B00-000001000000}">
      <formula1>"Wk 1 (21 Apr),Wk 2 (28 Apr),Wk 3 (05 May),Wk 4 (12 May),Wk 5 (19 May),Wk 6 (26 May),Wk 7 (02 Jun),Wk 8 (09 Jun),Wk 9 (16 Jun),Wk 10 (23 Jun),Wk 11 (30 Jun),Wk 12 (07 Jul),Wk 13 (14 Jul),Wk 14 (21 Jul)"</formula1>
      <formula2>0</formula2>
    </dataValidation>
    <dataValidation type="list" allowBlank="1" sqref="G5:G154" xr:uid="{00000000-0002-0000-0B00-000002000000}">
      <formula1>"Cash,MTN MoMo,Vodafone Cash,AirtelTigo Money,Bank Transfer,Cheque"</formula1>
      <formula2>0</formula2>
    </dataValidation>
    <dataValidation type="list" allowBlank="1" sqref="D5:D154" xr:uid="{00000000-0002-0000-0B00-000003000000}">
      <formula1>"Term 3,Term 2 Arrears,Term 1 Arrears"</formula1>
      <formula2>0</formula2>
    </dataValidation>
    <dataValidation type="list" allowBlank="1" sqref="J5:J154" xr:uid="{00000000-0002-0000-0B00-000004000000}">
      <formula1>"Yes,No,Pending"</formula1>
      <formula2>0</formula2>
    </dataValidation>
    <dataValidation type="list" allowBlank="1" sqref="H5:H17 H19:H154" xr:uid="{00000000-0002-0000-0B00-000005000000}">
      <formula1>"Dorcas Matilda Akosua Kusi,Hannah Ayorkor Laryea,Other"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A6928"/>
  </sheetPr>
  <dimension ref="A1:Q26"/>
  <sheetViews>
    <sheetView zoomScaleNormal="100" workbookViewId="0">
      <pane xSplit="2" ySplit="4" topLeftCell="H5" activePane="bottomRight" state="frozen"/>
      <selection pane="topRight" activeCell="C1" sqref="C1"/>
      <selection pane="bottomLeft" activeCell="A5" sqref="A5"/>
      <selection pane="bottomRight" activeCell="B19" sqref="B19"/>
    </sheetView>
  </sheetViews>
  <sheetFormatPr defaultColWidth="8.7109375" defaultRowHeight="15" x14ac:dyDescent="0.25"/>
  <cols>
    <col min="1" max="1" width="5" customWidth="1"/>
    <col min="2" max="2" width="36" customWidth="1"/>
    <col min="3" max="3" width="14" customWidth="1"/>
    <col min="4" max="16" width="13" customWidth="1"/>
    <col min="17" max="17" width="45" customWidth="1"/>
  </cols>
  <sheetData>
    <row r="1" spans="1:17" ht="25.5" customHeight="1" x14ac:dyDescent="0.25">
      <c r="A1" s="142" t="s">
        <v>285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</row>
    <row r="3" spans="1:17" ht="15" customHeight="1" x14ac:dyDescent="0.25">
      <c r="A3" s="120" t="s">
        <v>149</v>
      </c>
      <c r="B3" s="120"/>
      <c r="C3" s="120"/>
      <c r="D3" s="121" t="s">
        <v>150</v>
      </c>
      <c r="E3" s="121"/>
      <c r="F3" s="121"/>
      <c r="G3" s="121"/>
      <c r="H3" s="122" t="s">
        <v>151</v>
      </c>
      <c r="I3" s="122"/>
      <c r="J3" s="122"/>
      <c r="K3" s="122"/>
      <c r="L3" s="122"/>
      <c r="M3" s="123" t="s">
        <v>263</v>
      </c>
      <c r="N3" s="123"/>
      <c r="O3" s="123"/>
      <c r="P3" s="123"/>
      <c r="Q3" s="32" t="s">
        <v>153</v>
      </c>
    </row>
    <row r="4" spans="1:17" ht="27.75" customHeight="1" x14ac:dyDescent="0.25">
      <c r="A4" s="6" t="s">
        <v>87</v>
      </c>
      <c r="B4" s="6" t="s">
        <v>88</v>
      </c>
      <c r="C4" s="6" t="s">
        <v>33</v>
      </c>
      <c r="D4" s="5" t="s">
        <v>154</v>
      </c>
      <c r="E4" s="5" t="s">
        <v>155</v>
      </c>
      <c r="F4" s="5" t="s">
        <v>72</v>
      </c>
      <c r="G4" s="5" t="s">
        <v>73</v>
      </c>
      <c r="H4" s="4" t="s">
        <v>156</v>
      </c>
      <c r="I4" s="4" t="s">
        <v>157</v>
      </c>
      <c r="J4" s="4" t="s">
        <v>76</v>
      </c>
      <c r="K4" s="4" t="s">
        <v>77</v>
      </c>
      <c r="L4" s="4" t="s">
        <v>78</v>
      </c>
      <c r="M4" s="3" t="s">
        <v>80</v>
      </c>
      <c r="N4" s="3" t="s">
        <v>81</v>
      </c>
      <c r="O4" s="3" t="s">
        <v>158</v>
      </c>
      <c r="P4" s="3" t="s">
        <v>159</v>
      </c>
      <c r="Q4" s="32" t="s">
        <v>160</v>
      </c>
    </row>
    <row r="5" spans="1:17" ht="15" customHeight="1" x14ac:dyDescent="0.25">
      <c r="A5" s="57">
        <v>1</v>
      </c>
      <c r="B5" s="58" t="s">
        <v>286</v>
      </c>
      <c r="C5" s="57"/>
      <c r="D5" s="59">
        <v>3200</v>
      </c>
      <c r="E5" s="59"/>
      <c r="F5" s="59">
        <v>3000</v>
      </c>
      <c r="G5" s="59">
        <f t="shared" ref="G5:G14" si="0">IF(B5="","",IF(D5="",0,D5)+IF(E5="",0,E5)-IF(F5="",0,F5))</f>
        <v>200</v>
      </c>
      <c r="H5" s="59">
        <v>3000</v>
      </c>
      <c r="I5" s="59"/>
      <c r="J5" s="59"/>
      <c r="K5" s="59">
        <v>3000</v>
      </c>
      <c r="L5" s="59">
        <f t="shared" ref="L5:L14" si="1">IF(B5="","",IF(H5="",0,H5)+IF(I5="",0,I5)-IF(J5="",0,J5)-IF(K5="",0,K5))</f>
        <v>0</v>
      </c>
      <c r="M5" s="59">
        <v>3000</v>
      </c>
      <c r="N5" s="59"/>
      <c r="O5" s="59">
        <f>SUMIF('Grade 1 - Payments'!C5:C154,B5,'Grade 1 - Payments'!F5:F154)</f>
        <v>3200</v>
      </c>
      <c r="P5" s="60">
        <f t="shared" ref="P5:P14" si="2">IF(B5="","",IF(M5="",0,M5)-IF(N5="",0,N5)+IF(L5&lt;0,0,IF(L5="",0,L5))-IF(O5="",0,O5))</f>
        <v>-200</v>
      </c>
      <c r="Q5" s="61"/>
    </row>
    <row r="6" spans="1:17" ht="15" customHeight="1" x14ac:dyDescent="0.25">
      <c r="A6" s="62">
        <v>2</v>
      </c>
      <c r="B6" s="63" t="s">
        <v>287</v>
      </c>
      <c r="C6" s="62"/>
      <c r="D6" s="64">
        <v>3200</v>
      </c>
      <c r="E6" s="64"/>
      <c r="F6" s="64">
        <v>3200</v>
      </c>
      <c r="G6" s="64">
        <f t="shared" si="0"/>
        <v>0</v>
      </c>
      <c r="H6" s="64">
        <v>3000</v>
      </c>
      <c r="I6" s="64"/>
      <c r="J6" s="64"/>
      <c r="K6" s="64">
        <v>3000</v>
      </c>
      <c r="L6" s="64">
        <f t="shared" si="1"/>
        <v>0</v>
      </c>
      <c r="M6" s="64">
        <v>3000</v>
      </c>
      <c r="N6" s="64"/>
      <c r="O6" s="64">
        <f>SUMIF('Grade 1 - Payments'!C5:C154,B6,'Grade 1 - Payments'!F5:F154)</f>
        <v>3200</v>
      </c>
      <c r="P6" s="65">
        <f t="shared" si="2"/>
        <v>-200</v>
      </c>
      <c r="Q6" s="66"/>
    </row>
    <row r="7" spans="1:17" ht="30.6" customHeight="1" x14ac:dyDescent="0.25">
      <c r="A7" s="57">
        <v>3</v>
      </c>
      <c r="B7" s="58" t="s">
        <v>110</v>
      </c>
      <c r="C7" s="57"/>
      <c r="D7" s="59">
        <v>3200</v>
      </c>
      <c r="E7" s="59"/>
      <c r="F7" s="59">
        <v>2000</v>
      </c>
      <c r="G7" s="59">
        <f t="shared" si="0"/>
        <v>1200</v>
      </c>
      <c r="H7" s="59"/>
      <c r="I7" s="59">
        <v>1200</v>
      </c>
      <c r="J7" s="59"/>
      <c r="K7" s="59"/>
      <c r="L7" s="59">
        <f t="shared" si="1"/>
        <v>1200</v>
      </c>
      <c r="M7" s="59">
        <v>0</v>
      </c>
      <c r="N7" s="59"/>
      <c r="O7" s="59">
        <f>SUMIF('Grade 1 - Payments'!C5:C154,B7,'Grade 1 - Payments'!F5:F154)</f>
        <v>0</v>
      </c>
      <c r="P7" s="60">
        <f t="shared" si="2"/>
        <v>1200</v>
      </c>
      <c r="Q7" s="61" t="s">
        <v>288</v>
      </c>
    </row>
    <row r="8" spans="1:17" ht="15" customHeight="1" x14ac:dyDescent="0.25">
      <c r="A8" s="62">
        <v>4</v>
      </c>
      <c r="B8" s="63" t="s">
        <v>289</v>
      </c>
      <c r="C8" s="62" t="s">
        <v>247</v>
      </c>
      <c r="D8" s="64">
        <v>3200</v>
      </c>
      <c r="E8" s="64"/>
      <c r="F8" s="64">
        <v>3200</v>
      </c>
      <c r="G8" s="64">
        <f t="shared" si="0"/>
        <v>0</v>
      </c>
      <c r="H8" s="64">
        <v>3000</v>
      </c>
      <c r="I8" s="64"/>
      <c r="J8" s="64">
        <v>2000</v>
      </c>
      <c r="K8" s="64">
        <v>1000</v>
      </c>
      <c r="L8" s="64">
        <f t="shared" si="1"/>
        <v>0</v>
      </c>
      <c r="M8" s="64">
        <v>3000</v>
      </c>
      <c r="N8" s="64"/>
      <c r="O8" s="64">
        <f>SUMIF('Grade 1 - Payments'!C5:C154,B8,'Grade 1 - Payments'!F5:F154)</f>
        <v>3200</v>
      </c>
      <c r="P8" s="65">
        <f t="shared" si="2"/>
        <v>-200</v>
      </c>
      <c r="Q8" s="66" t="s">
        <v>290</v>
      </c>
    </row>
    <row r="9" spans="1:17" ht="15" customHeight="1" x14ac:dyDescent="0.25">
      <c r="A9" s="57">
        <v>5</v>
      </c>
      <c r="B9" s="58" t="s">
        <v>291</v>
      </c>
      <c r="C9" s="57" t="s">
        <v>98</v>
      </c>
      <c r="D9" s="59">
        <v>2900</v>
      </c>
      <c r="E9" s="59"/>
      <c r="F9" s="59">
        <v>2466.67</v>
      </c>
      <c r="G9" s="59">
        <f t="shared" si="0"/>
        <v>433.32999999999993</v>
      </c>
      <c r="H9" s="59">
        <v>3000</v>
      </c>
      <c r="I9" s="59"/>
      <c r="J9" s="59">
        <v>300</v>
      </c>
      <c r="K9" s="59">
        <v>2700</v>
      </c>
      <c r="L9" s="59">
        <f t="shared" si="1"/>
        <v>0</v>
      </c>
      <c r="M9" s="59">
        <v>3000</v>
      </c>
      <c r="N9" s="59">
        <v>300</v>
      </c>
      <c r="O9" s="59">
        <f>SUMIF('Grade 1 - Payments'!C5:C154,B9,'Grade 1 - Payments'!F5:F154)</f>
        <v>0</v>
      </c>
      <c r="P9" s="60">
        <f t="shared" si="2"/>
        <v>2700</v>
      </c>
      <c r="Q9" s="61" t="s">
        <v>292</v>
      </c>
    </row>
    <row r="10" spans="1:17" ht="15" customHeight="1" x14ac:dyDescent="0.25">
      <c r="A10" s="62">
        <v>6</v>
      </c>
      <c r="B10" s="63" t="s">
        <v>293</v>
      </c>
      <c r="C10" s="62"/>
      <c r="D10" s="64">
        <v>3200</v>
      </c>
      <c r="E10" s="64"/>
      <c r="F10" s="64">
        <v>3200</v>
      </c>
      <c r="G10" s="64">
        <f t="shared" si="0"/>
        <v>0</v>
      </c>
      <c r="H10" s="64">
        <v>3000</v>
      </c>
      <c r="I10" s="64"/>
      <c r="J10" s="64"/>
      <c r="K10" s="64">
        <v>3000</v>
      </c>
      <c r="L10" s="64">
        <f t="shared" si="1"/>
        <v>0</v>
      </c>
      <c r="M10" s="64">
        <v>3000</v>
      </c>
      <c r="N10" s="64"/>
      <c r="O10" s="64">
        <f>SUMIF('Grade 1 - Payments'!C5:C154,B10,'Grade 1 - Payments'!F5:F154)</f>
        <v>3200</v>
      </c>
      <c r="P10" s="65">
        <f t="shared" si="2"/>
        <v>-200</v>
      </c>
      <c r="Q10" s="66"/>
    </row>
    <row r="11" spans="1:17" ht="15" customHeight="1" x14ac:dyDescent="0.25">
      <c r="A11" s="57">
        <v>7</v>
      </c>
      <c r="B11" s="58" t="s">
        <v>131</v>
      </c>
      <c r="C11" s="57" t="s">
        <v>98</v>
      </c>
      <c r="D11" s="59"/>
      <c r="E11" s="59"/>
      <c r="F11" s="59"/>
      <c r="G11" s="59">
        <f t="shared" si="0"/>
        <v>0</v>
      </c>
      <c r="H11" s="59">
        <v>3000</v>
      </c>
      <c r="I11" s="59"/>
      <c r="J11" s="59">
        <v>150</v>
      </c>
      <c r="K11" s="59">
        <v>2622.5</v>
      </c>
      <c r="L11" s="59">
        <f t="shared" si="1"/>
        <v>227.5</v>
      </c>
      <c r="M11" s="59">
        <v>3000</v>
      </c>
      <c r="N11" s="59">
        <v>150</v>
      </c>
      <c r="O11" s="59">
        <f>SUMIF('Grade 1 - Payments'!C5:C154,B11,'Grade 1 - Payments'!F5:F154)</f>
        <v>3627.5</v>
      </c>
      <c r="P11" s="60">
        <f t="shared" si="2"/>
        <v>-550</v>
      </c>
      <c r="Q11" s="61" t="s">
        <v>294</v>
      </c>
    </row>
    <row r="12" spans="1:17" ht="15" customHeight="1" x14ac:dyDescent="0.25">
      <c r="A12" s="62">
        <v>8</v>
      </c>
      <c r="B12" s="63" t="s">
        <v>118</v>
      </c>
      <c r="C12" s="62" t="s">
        <v>98</v>
      </c>
      <c r="D12" s="64">
        <v>3050</v>
      </c>
      <c r="E12" s="64"/>
      <c r="F12" s="64">
        <v>1600</v>
      </c>
      <c r="G12" s="64">
        <f t="shared" si="0"/>
        <v>1450</v>
      </c>
      <c r="H12" s="64">
        <v>3000</v>
      </c>
      <c r="I12" s="64">
        <v>450</v>
      </c>
      <c r="J12" s="64">
        <v>150</v>
      </c>
      <c r="K12" s="64">
        <v>2450</v>
      </c>
      <c r="L12" s="64">
        <f t="shared" si="1"/>
        <v>850</v>
      </c>
      <c r="M12" s="64">
        <v>3000</v>
      </c>
      <c r="N12" s="64">
        <v>150</v>
      </c>
      <c r="O12" s="64">
        <v>2800</v>
      </c>
      <c r="P12" s="60">
        <v>1152.5</v>
      </c>
      <c r="Q12" s="66" t="s">
        <v>295</v>
      </c>
    </row>
    <row r="13" spans="1:17" ht="15" customHeight="1" x14ac:dyDescent="0.25">
      <c r="A13" s="57">
        <v>9</v>
      </c>
      <c r="B13" s="58" t="s">
        <v>296</v>
      </c>
      <c r="C13" s="57" t="s">
        <v>247</v>
      </c>
      <c r="D13" s="59">
        <v>3050</v>
      </c>
      <c r="E13" s="59"/>
      <c r="F13" s="59">
        <v>3050</v>
      </c>
      <c r="G13" s="59">
        <f t="shared" si="0"/>
        <v>0</v>
      </c>
      <c r="H13" s="59">
        <v>3000</v>
      </c>
      <c r="I13" s="59"/>
      <c r="J13" s="59">
        <v>2000</v>
      </c>
      <c r="K13" s="59">
        <v>1000</v>
      </c>
      <c r="L13" s="59">
        <f t="shared" si="1"/>
        <v>0</v>
      </c>
      <c r="M13" s="59">
        <v>3000</v>
      </c>
      <c r="N13" s="59">
        <v>150</v>
      </c>
      <c r="O13" s="59">
        <f>SUMIF('Grade 1 - Payments'!C5:C154,B13,'Grade 1 - Payments'!F5:F154)</f>
        <v>3050</v>
      </c>
      <c r="P13" s="60">
        <f t="shared" si="2"/>
        <v>-200</v>
      </c>
      <c r="Q13" s="61" t="s">
        <v>290</v>
      </c>
    </row>
    <row r="14" spans="1:17" ht="15" customHeight="1" x14ac:dyDescent="0.25">
      <c r="A14" s="62">
        <v>10</v>
      </c>
      <c r="B14" s="63" t="s">
        <v>297</v>
      </c>
      <c r="C14" s="62"/>
      <c r="D14" s="64"/>
      <c r="E14" s="64"/>
      <c r="F14" s="64"/>
      <c r="G14" s="64">
        <f t="shared" si="0"/>
        <v>0</v>
      </c>
      <c r="H14" s="64">
        <v>5000</v>
      </c>
      <c r="I14" s="64"/>
      <c r="J14" s="64"/>
      <c r="K14" s="64">
        <v>5000</v>
      </c>
      <c r="L14" s="64">
        <f t="shared" si="1"/>
        <v>0</v>
      </c>
      <c r="M14" s="64">
        <v>3000</v>
      </c>
      <c r="N14" s="64"/>
      <c r="O14" s="64">
        <v>3200</v>
      </c>
      <c r="P14" s="65">
        <f t="shared" si="2"/>
        <v>-200</v>
      </c>
      <c r="Q14" s="66" t="s">
        <v>298</v>
      </c>
    </row>
    <row r="15" spans="1:17" ht="15" customHeight="1" x14ac:dyDescent="0.25">
      <c r="A15" s="57">
        <v>11</v>
      </c>
      <c r="B15" s="58" t="s">
        <v>350</v>
      </c>
      <c r="C15" s="57"/>
      <c r="D15" s="59"/>
      <c r="E15" s="59"/>
      <c r="F15" s="59"/>
      <c r="G15" s="59">
        <f t="shared" ref="G15:G24" si="3">IF(B15="","",0)</f>
        <v>0</v>
      </c>
      <c r="H15" s="59"/>
      <c r="I15" s="59"/>
      <c r="J15" s="59"/>
      <c r="K15" s="59"/>
      <c r="L15" s="59">
        <f t="shared" ref="L15:L24" si="4">IF(B15="","",0)</f>
        <v>0</v>
      </c>
      <c r="M15" s="59"/>
      <c r="N15" s="59"/>
      <c r="O15" s="59"/>
      <c r="P15" s="59">
        <f t="shared" ref="P15:P24" si="5">IF(B15="","",0)</f>
        <v>0</v>
      </c>
      <c r="Q15" s="61"/>
    </row>
    <row r="16" spans="1:17" ht="15" customHeight="1" x14ac:dyDescent="0.25">
      <c r="A16" s="62">
        <v>12</v>
      </c>
      <c r="B16" s="63"/>
      <c r="C16" s="62"/>
      <c r="D16" s="64"/>
      <c r="E16" s="64"/>
      <c r="F16" s="64"/>
      <c r="G16" s="64" t="str">
        <f t="shared" si="3"/>
        <v/>
      </c>
      <c r="H16" s="64"/>
      <c r="I16" s="64"/>
      <c r="J16" s="64"/>
      <c r="K16" s="64"/>
      <c r="L16" s="64" t="str">
        <f t="shared" si="4"/>
        <v/>
      </c>
      <c r="M16" s="64"/>
      <c r="N16" s="64"/>
      <c r="O16" s="64"/>
      <c r="P16" s="64" t="str">
        <f t="shared" si="5"/>
        <v/>
      </c>
      <c r="Q16" s="66"/>
    </row>
    <row r="17" spans="1:17" ht="15" customHeight="1" x14ac:dyDescent="0.25">
      <c r="A17" s="57">
        <v>13</v>
      </c>
      <c r="B17" s="58"/>
      <c r="C17" s="57"/>
      <c r="D17" s="59"/>
      <c r="E17" s="59"/>
      <c r="F17" s="59"/>
      <c r="G17" s="59" t="str">
        <f t="shared" si="3"/>
        <v/>
      </c>
      <c r="H17" s="59"/>
      <c r="I17" s="59"/>
      <c r="J17" s="59"/>
      <c r="K17" s="59"/>
      <c r="L17" s="59" t="str">
        <f t="shared" si="4"/>
        <v/>
      </c>
      <c r="M17" s="59"/>
      <c r="N17" s="59"/>
      <c r="O17" s="59"/>
      <c r="P17" s="59" t="str">
        <f t="shared" si="5"/>
        <v/>
      </c>
      <c r="Q17" s="61"/>
    </row>
    <row r="18" spans="1:17" ht="15" customHeight="1" x14ac:dyDescent="0.25">
      <c r="A18" s="62">
        <v>14</v>
      </c>
      <c r="B18" s="63"/>
      <c r="C18" s="62"/>
      <c r="D18" s="64"/>
      <c r="E18" s="64"/>
      <c r="F18" s="64"/>
      <c r="G18" s="64" t="str">
        <f t="shared" si="3"/>
        <v/>
      </c>
      <c r="H18" s="64"/>
      <c r="I18" s="64"/>
      <c r="J18" s="64"/>
      <c r="K18" s="64"/>
      <c r="L18" s="64" t="str">
        <f t="shared" si="4"/>
        <v/>
      </c>
      <c r="M18" s="64"/>
      <c r="N18" s="64"/>
      <c r="O18" s="64"/>
      <c r="P18" s="64" t="str">
        <f t="shared" si="5"/>
        <v/>
      </c>
      <c r="Q18" s="66"/>
    </row>
    <row r="19" spans="1:17" ht="15" customHeight="1" x14ac:dyDescent="0.25">
      <c r="A19" s="57">
        <v>15</v>
      </c>
      <c r="B19" s="58"/>
      <c r="C19" s="57"/>
      <c r="D19" s="59"/>
      <c r="E19" s="59"/>
      <c r="F19" s="59"/>
      <c r="G19" s="59" t="str">
        <f t="shared" si="3"/>
        <v/>
      </c>
      <c r="H19" s="59"/>
      <c r="I19" s="59"/>
      <c r="J19" s="59"/>
      <c r="K19" s="59"/>
      <c r="L19" s="59" t="str">
        <f t="shared" si="4"/>
        <v/>
      </c>
      <c r="M19" s="59"/>
      <c r="N19" s="59"/>
      <c r="O19" s="59"/>
      <c r="P19" s="59" t="str">
        <f t="shared" si="5"/>
        <v/>
      </c>
      <c r="Q19" s="61"/>
    </row>
    <row r="20" spans="1:17" ht="15" customHeight="1" x14ac:dyDescent="0.25">
      <c r="A20" s="62">
        <v>16</v>
      </c>
      <c r="B20" s="63"/>
      <c r="C20" s="62"/>
      <c r="D20" s="64"/>
      <c r="E20" s="64"/>
      <c r="F20" s="64"/>
      <c r="G20" s="64" t="str">
        <f t="shared" si="3"/>
        <v/>
      </c>
      <c r="H20" s="64"/>
      <c r="I20" s="64"/>
      <c r="J20" s="64"/>
      <c r="K20" s="64"/>
      <c r="L20" s="64" t="str">
        <f t="shared" si="4"/>
        <v/>
      </c>
      <c r="M20" s="64"/>
      <c r="N20" s="64"/>
      <c r="O20" s="64"/>
      <c r="P20" s="64" t="str">
        <f t="shared" si="5"/>
        <v/>
      </c>
      <c r="Q20" s="66"/>
    </row>
    <row r="21" spans="1:17" ht="15" customHeight="1" x14ac:dyDescent="0.25">
      <c r="A21" s="57">
        <v>17</v>
      </c>
      <c r="B21" s="58"/>
      <c r="C21" s="57"/>
      <c r="D21" s="59"/>
      <c r="E21" s="59"/>
      <c r="F21" s="59"/>
      <c r="G21" s="59" t="str">
        <f t="shared" si="3"/>
        <v/>
      </c>
      <c r="H21" s="59"/>
      <c r="I21" s="59"/>
      <c r="J21" s="59"/>
      <c r="K21" s="59"/>
      <c r="L21" s="59" t="str">
        <f t="shared" si="4"/>
        <v/>
      </c>
      <c r="M21" s="59"/>
      <c r="N21" s="59"/>
      <c r="O21" s="59"/>
      <c r="P21" s="59" t="str">
        <f t="shared" si="5"/>
        <v/>
      </c>
      <c r="Q21" s="61"/>
    </row>
    <row r="22" spans="1:17" ht="15" customHeight="1" x14ac:dyDescent="0.25">
      <c r="A22" s="62">
        <v>18</v>
      </c>
      <c r="B22" s="63"/>
      <c r="C22" s="62"/>
      <c r="D22" s="64"/>
      <c r="E22" s="64"/>
      <c r="F22" s="64"/>
      <c r="G22" s="64" t="str">
        <f t="shared" si="3"/>
        <v/>
      </c>
      <c r="H22" s="64"/>
      <c r="I22" s="64"/>
      <c r="J22" s="64"/>
      <c r="K22" s="64"/>
      <c r="L22" s="64" t="str">
        <f t="shared" si="4"/>
        <v/>
      </c>
      <c r="M22" s="64"/>
      <c r="N22" s="64"/>
      <c r="O22" s="64"/>
      <c r="P22" s="64" t="str">
        <f t="shared" si="5"/>
        <v/>
      </c>
      <c r="Q22" s="66"/>
    </row>
    <row r="23" spans="1:17" ht="15" customHeight="1" x14ac:dyDescent="0.25">
      <c r="A23" s="57">
        <v>19</v>
      </c>
      <c r="B23" s="58"/>
      <c r="C23" s="57"/>
      <c r="D23" s="59"/>
      <c r="E23" s="59"/>
      <c r="F23" s="59"/>
      <c r="G23" s="59" t="str">
        <f t="shared" si="3"/>
        <v/>
      </c>
      <c r="H23" s="59"/>
      <c r="I23" s="59"/>
      <c r="J23" s="59"/>
      <c r="K23" s="59"/>
      <c r="L23" s="59" t="str">
        <f t="shared" si="4"/>
        <v/>
      </c>
      <c r="M23" s="59"/>
      <c r="N23" s="59"/>
      <c r="O23" s="59"/>
      <c r="P23" s="59" t="str">
        <f t="shared" si="5"/>
        <v/>
      </c>
      <c r="Q23" s="61"/>
    </row>
    <row r="24" spans="1:17" ht="15" customHeight="1" x14ac:dyDescent="0.25">
      <c r="A24" s="62">
        <v>20</v>
      </c>
      <c r="B24" s="63"/>
      <c r="C24" s="62"/>
      <c r="D24" s="64"/>
      <c r="E24" s="64"/>
      <c r="F24" s="64"/>
      <c r="G24" s="64" t="str">
        <f t="shared" si="3"/>
        <v/>
      </c>
      <c r="H24" s="64"/>
      <c r="I24" s="64"/>
      <c r="J24" s="64"/>
      <c r="K24" s="64"/>
      <c r="L24" s="64" t="str">
        <f t="shared" si="4"/>
        <v/>
      </c>
      <c r="M24" s="64"/>
      <c r="N24" s="64"/>
      <c r="O24" s="64"/>
      <c r="P24" s="64" t="str">
        <f t="shared" si="5"/>
        <v/>
      </c>
      <c r="Q24" s="66"/>
    </row>
    <row r="25" spans="1:17" ht="15" customHeight="1" x14ac:dyDescent="0.25">
      <c r="A25" s="28"/>
      <c r="B25" s="28" t="s">
        <v>84</v>
      </c>
      <c r="C25" s="28"/>
      <c r="D25" s="29">
        <f t="shared" ref="D25:P25" si="6">SUM(D5:D24)</f>
        <v>25000</v>
      </c>
      <c r="E25" s="29">
        <f t="shared" si="6"/>
        <v>0</v>
      </c>
      <c r="F25" s="29">
        <f t="shared" si="6"/>
        <v>21716.67</v>
      </c>
      <c r="G25" s="29">
        <f t="shared" si="6"/>
        <v>3283.33</v>
      </c>
      <c r="H25" s="29">
        <f t="shared" si="6"/>
        <v>29000</v>
      </c>
      <c r="I25" s="29">
        <f t="shared" si="6"/>
        <v>1650</v>
      </c>
      <c r="J25" s="29">
        <f t="shared" si="6"/>
        <v>4600</v>
      </c>
      <c r="K25" s="29">
        <f t="shared" si="6"/>
        <v>23772.5</v>
      </c>
      <c r="L25" s="29">
        <f t="shared" si="6"/>
        <v>2277.5</v>
      </c>
      <c r="M25" s="29">
        <f t="shared" si="6"/>
        <v>27000</v>
      </c>
      <c r="N25" s="29">
        <f t="shared" si="6"/>
        <v>750</v>
      </c>
      <c r="O25" s="29">
        <f t="shared" si="6"/>
        <v>25477.5</v>
      </c>
      <c r="P25" s="29">
        <f t="shared" si="6"/>
        <v>3302.5</v>
      </c>
      <c r="Q25" s="61"/>
    </row>
    <row r="26" spans="1:17" ht="15" customHeight="1" x14ac:dyDescent="0.25">
      <c r="B26" s="67" t="s">
        <v>169</v>
      </c>
      <c r="F26" s="68" t="s">
        <v>170</v>
      </c>
      <c r="G26" s="69">
        <f>IF(D25+E25=0,1,F25/(D25+E25))</f>
        <v>0.86866679999999996</v>
      </c>
      <c r="K26" s="68" t="s">
        <v>171</v>
      </c>
      <c r="L26" s="70">
        <f>IF(H25+I25-J25=0,1,K25/(H25+I25-J25))</f>
        <v>0.91257197696737047</v>
      </c>
      <c r="O26" s="71">
        <f>SUMIF('Grade 1 - Payments'!C5:C154,B26,'Grade 1 - Payments'!F5:F154)</f>
        <v>0</v>
      </c>
      <c r="Q26" s="66"/>
    </row>
  </sheetData>
  <mergeCells count="5">
    <mergeCell ref="A1:O1"/>
    <mergeCell ref="A3:C3"/>
    <mergeCell ref="D3:G3"/>
    <mergeCell ref="H3:L3"/>
    <mergeCell ref="M3:P3"/>
  </mergeCells>
  <dataValidations count="1">
    <dataValidation type="list" allowBlank="1" showInputMessage="1" showErrorMessage="1" errorTitle="Invalid Entry" error="Select from: None, Founding Family, Sibling, Sibling 2nd, Sibling 3rd, Staff Child, or Waiver." promptTitle="Discount Type" prompt="Select discount type or &quot;None&quot; for full-fee pupils." sqref="C5:C24" xr:uid="{00000000-0002-0000-0C00-000000000000}">
      <formula1>"None,Founding Family,Sibling,Sibling 2nd,Sibling 3rd,Staff Child,Waiver"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A6928"/>
  </sheetPr>
  <dimension ref="A1:P18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21" sqref="H21"/>
    </sheetView>
  </sheetViews>
  <sheetFormatPr defaultColWidth="8.7109375" defaultRowHeight="15" x14ac:dyDescent="0.25"/>
  <cols>
    <col min="1" max="1" width="12" customWidth="1"/>
    <col min="2" max="2" width="13" customWidth="1"/>
    <col min="3" max="3" width="30" customWidth="1"/>
    <col min="4" max="4" width="20.85546875" customWidth="1"/>
    <col min="5" max="5" width="18" customWidth="1"/>
    <col min="6" max="6" width="14" customWidth="1"/>
    <col min="7" max="7" width="20" customWidth="1"/>
    <col min="8" max="8" width="43.28515625" customWidth="1"/>
    <col min="9" max="9" width="14" customWidth="1"/>
    <col min="10" max="10" width="10" customWidth="1"/>
    <col min="11" max="11" width="28" customWidth="1"/>
    <col min="16" max="16" width="13" hidden="1" customWidth="1"/>
  </cols>
  <sheetData>
    <row r="1" spans="1:16" ht="25.5" customHeight="1" x14ac:dyDescent="0.25">
      <c r="A1" s="142" t="s">
        <v>299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P1" t="s">
        <v>286</v>
      </c>
    </row>
    <row r="2" spans="1:16" ht="15" customHeight="1" x14ac:dyDescent="0.25">
      <c r="A2" s="131" t="s">
        <v>173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P2" t="s">
        <v>287</v>
      </c>
    </row>
    <row r="3" spans="1:16" ht="15" customHeight="1" x14ac:dyDescent="0.25">
      <c r="A3" s="132" t="s">
        <v>174</v>
      </c>
      <c r="B3" s="132"/>
      <c r="C3" s="132"/>
      <c r="D3" s="132"/>
      <c r="E3" s="132"/>
      <c r="F3" s="132"/>
      <c r="G3" s="143" t="s">
        <v>175</v>
      </c>
      <c r="H3" s="143"/>
      <c r="I3" s="143"/>
      <c r="J3" s="134" t="s">
        <v>176</v>
      </c>
      <c r="K3" s="134"/>
      <c r="P3" t="s">
        <v>110</v>
      </c>
    </row>
    <row r="4" spans="1:16" ht="25.5" customHeight="1" x14ac:dyDescent="0.25">
      <c r="A4" s="2" t="s">
        <v>177</v>
      </c>
      <c r="B4" s="2" t="s">
        <v>178</v>
      </c>
      <c r="C4" s="2" t="s">
        <v>88</v>
      </c>
      <c r="D4" s="2" t="s">
        <v>179</v>
      </c>
      <c r="E4" s="2" t="s">
        <v>180</v>
      </c>
      <c r="F4" s="2" t="s">
        <v>181</v>
      </c>
      <c r="G4" s="16" t="s">
        <v>182</v>
      </c>
      <c r="H4" s="16" t="s">
        <v>183</v>
      </c>
      <c r="I4" s="16" t="s">
        <v>184</v>
      </c>
      <c r="J4" s="8" t="s">
        <v>185</v>
      </c>
      <c r="K4" s="8" t="s">
        <v>36</v>
      </c>
      <c r="P4" t="s">
        <v>289</v>
      </c>
    </row>
    <row r="5" spans="1:16" ht="15" customHeight="1" x14ac:dyDescent="0.25">
      <c r="A5" s="72">
        <v>46139</v>
      </c>
      <c r="B5" s="57">
        <v>1053</v>
      </c>
      <c r="C5" s="58" t="s">
        <v>289</v>
      </c>
      <c r="D5" s="57" t="s">
        <v>342</v>
      </c>
      <c r="E5" s="57" t="s">
        <v>197</v>
      </c>
      <c r="F5" s="59">
        <v>1000</v>
      </c>
      <c r="G5" s="57" t="s">
        <v>338</v>
      </c>
      <c r="H5" s="58" t="s">
        <v>337</v>
      </c>
      <c r="I5" s="105">
        <f>IF(F5="","",F5)</f>
        <v>1000</v>
      </c>
      <c r="J5" s="57"/>
      <c r="K5" s="58"/>
      <c r="P5" t="s">
        <v>291</v>
      </c>
    </row>
    <row r="6" spans="1:16" ht="15" customHeight="1" x14ac:dyDescent="0.25">
      <c r="A6" s="74">
        <v>46139</v>
      </c>
      <c r="B6" s="62">
        <v>1050</v>
      </c>
      <c r="C6" s="63" t="s">
        <v>296</v>
      </c>
      <c r="D6" s="62" t="s">
        <v>342</v>
      </c>
      <c r="E6" s="62" t="s">
        <v>197</v>
      </c>
      <c r="F6" s="64">
        <v>2000</v>
      </c>
      <c r="G6" s="62" t="s">
        <v>189</v>
      </c>
      <c r="H6" s="63" t="s">
        <v>343</v>
      </c>
      <c r="I6" s="106">
        <f t="shared" ref="I6:I37" si="0">IF(F6="","",IF(I5="",F6,I5+F6))</f>
        <v>3000</v>
      </c>
      <c r="J6" s="62"/>
      <c r="K6" s="63"/>
      <c r="P6" t="s">
        <v>293</v>
      </c>
    </row>
    <row r="7" spans="1:16" ht="15" customHeight="1" x14ac:dyDescent="0.25">
      <c r="A7" s="72">
        <v>46146</v>
      </c>
      <c r="B7" s="57">
        <v>1061</v>
      </c>
      <c r="C7" s="58" t="s">
        <v>289</v>
      </c>
      <c r="D7" s="57" t="s">
        <v>342</v>
      </c>
      <c r="E7" s="57" t="s">
        <v>198</v>
      </c>
      <c r="F7" s="59">
        <v>749.5</v>
      </c>
      <c r="G7" s="57" t="s">
        <v>338</v>
      </c>
      <c r="H7" s="58" t="s">
        <v>343</v>
      </c>
      <c r="I7" s="105">
        <f t="shared" si="0"/>
        <v>3749.5</v>
      </c>
      <c r="J7" s="57"/>
      <c r="K7" s="58"/>
      <c r="P7" t="s">
        <v>131</v>
      </c>
    </row>
    <row r="8" spans="1:16" ht="15" customHeight="1" x14ac:dyDescent="0.25">
      <c r="A8" s="74">
        <v>46148</v>
      </c>
      <c r="B8" s="62">
        <v>1063</v>
      </c>
      <c r="C8" s="63" t="s">
        <v>287</v>
      </c>
      <c r="D8" s="62" t="s">
        <v>342</v>
      </c>
      <c r="E8" s="57" t="s">
        <v>198</v>
      </c>
      <c r="F8" s="64">
        <v>3200</v>
      </c>
      <c r="G8" s="62" t="s">
        <v>338</v>
      </c>
      <c r="H8" s="63" t="s">
        <v>343</v>
      </c>
      <c r="I8" s="106">
        <f t="shared" si="0"/>
        <v>6949.5</v>
      </c>
      <c r="J8" s="62"/>
      <c r="K8" s="63"/>
      <c r="P8" t="s">
        <v>300</v>
      </c>
    </row>
    <row r="9" spans="1:16" ht="15" customHeight="1" x14ac:dyDescent="0.25">
      <c r="A9" s="72">
        <v>46149</v>
      </c>
      <c r="B9" s="57">
        <v>1065</v>
      </c>
      <c r="C9" s="58" t="s">
        <v>131</v>
      </c>
      <c r="D9" s="57" t="s">
        <v>342</v>
      </c>
      <c r="E9" s="57" t="s">
        <v>198</v>
      </c>
      <c r="F9" s="59">
        <v>3627.5</v>
      </c>
      <c r="G9" s="57" t="s">
        <v>189</v>
      </c>
      <c r="H9" s="58" t="s">
        <v>337</v>
      </c>
      <c r="I9" s="105">
        <f t="shared" si="0"/>
        <v>10577</v>
      </c>
      <c r="J9" s="57"/>
      <c r="K9" s="58"/>
      <c r="P9" t="s">
        <v>296</v>
      </c>
    </row>
    <row r="10" spans="1:16" ht="15" customHeight="1" x14ac:dyDescent="0.25">
      <c r="A10" s="74">
        <v>46149</v>
      </c>
      <c r="B10" s="62">
        <v>1067</v>
      </c>
      <c r="C10" s="63" t="s">
        <v>354</v>
      </c>
      <c r="D10" s="62" t="s">
        <v>342</v>
      </c>
      <c r="E10" s="57" t="s">
        <v>198</v>
      </c>
      <c r="F10" s="64">
        <v>950</v>
      </c>
      <c r="G10" s="62" t="s">
        <v>189</v>
      </c>
      <c r="H10" s="63" t="s">
        <v>337</v>
      </c>
      <c r="I10" s="106">
        <f t="shared" si="0"/>
        <v>11527</v>
      </c>
      <c r="J10" s="62"/>
      <c r="K10" s="63"/>
      <c r="P10" t="s">
        <v>297</v>
      </c>
    </row>
    <row r="11" spans="1:16" ht="15" customHeight="1" x14ac:dyDescent="0.25">
      <c r="A11" s="72">
        <v>46155</v>
      </c>
      <c r="B11" s="57">
        <v>1071</v>
      </c>
      <c r="C11" s="58" t="s">
        <v>300</v>
      </c>
      <c r="D11" s="57" t="s">
        <v>336</v>
      </c>
      <c r="E11" s="57" t="s">
        <v>199</v>
      </c>
      <c r="F11" s="59">
        <v>900</v>
      </c>
      <c r="G11" s="57" t="s">
        <v>338</v>
      </c>
      <c r="H11" s="58" t="s">
        <v>337</v>
      </c>
      <c r="I11" s="105">
        <f t="shared" si="0"/>
        <v>12427</v>
      </c>
      <c r="J11" s="57"/>
      <c r="K11" s="58"/>
    </row>
    <row r="12" spans="1:16" ht="15" customHeight="1" x14ac:dyDescent="0.25">
      <c r="A12" s="74">
        <v>46167</v>
      </c>
      <c r="B12" s="62">
        <v>1084</v>
      </c>
      <c r="C12" s="63" t="s">
        <v>286</v>
      </c>
      <c r="D12" s="62" t="s">
        <v>342</v>
      </c>
      <c r="E12" s="62" t="s">
        <v>201</v>
      </c>
      <c r="F12" s="64">
        <v>2000</v>
      </c>
      <c r="G12" s="62" t="s">
        <v>338</v>
      </c>
      <c r="H12" s="63" t="s">
        <v>337</v>
      </c>
      <c r="I12" s="106">
        <f t="shared" si="0"/>
        <v>14427</v>
      </c>
      <c r="J12" s="62"/>
      <c r="K12" s="63"/>
    </row>
    <row r="13" spans="1:16" ht="15" customHeight="1" x14ac:dyDescent="0.25">
      <c r="A13" s="72">
        <v>46167</v>
      </c>
      <c r="B13" s="57">
        <v>1085</v>
      </c>
      <c r="C13" s="58" t="s">
        <v>293</v>
      </c>
      <c r="D13" s="57" t="s">
        <v>342</v>
      </c>
      <c r="E13" s="57" t="s">
        <v>201</v>
      </c>
      <c r="F13" s="59">
        <v>3200</v>
      </c>
      <c r="G13" s="57" t="s">
        <v>191</v>
      </c>
      <c r="H13" s="58" t="s">
        <v>337</v>
      </c>
      <c r="I13" s="105">
        <f t="shared" si="0"/>
        <v>17627</v>
      </c>
      <c r="J13" s="57"/>
      <c r="K13" s="58"/>
    </row>
    <row r="14" spans="1:16" ht="15" customHeight="1" x14ac:dyDescent="0.25">
      <c r="A14" s="74">
        <v>46199</v>
      </c>
      <c r="B14" s="62">
        <v>1088</v>
      </c>
      <c r="C14" s="63" t="s">
        <v>289</v>
      </c>
      <c r="D14" s="62" t="s">
        <v>342</v>
      </c>
      <c r="E14" s="62" t="s">
        <v>201</v>
      </c>
      <c r="F14" s="64">
        <v>669.5</v>
      </c>
      <c r="G14" s="62" t="s">
        <v>338</v>
      </c>
      <c r="H14" s="63" t="s">
        <v>337</v>
      </c>
      <c r="I14" s="106">
        <f t="shared" si="0"/>
        <v>18296.5</v>
      </c>
      <c r="J14" s="62"/>
      <c r="K14" s="63"/>
    </row>
    <row r="15" spans="1:16" ht="15" customHeight="1" x14ac:dyDescent="0.25">
      <c r="A15" s="72">
        <v>46176</v>
      </c>
      <c r="B15" s="57">
        <v>1106</v>
      </c>
      <c r="C15" s="58" t="s">
        <v>296</v>
      </c>
      <c r="D15" s="57" t="s">
        <v>342</v>
      </c>
      <c r="E15" s="57" t="s">
        <v>202</v>
      </c>
      <c r="F15" s="59">
        <v>1050</v>
      </c>
      <c r="G15" s="57" t="s">
        <v>338</v>
      </c>
      <c r="H15" s="58" t="s">
        <v>337</v>
      </c>
      <c r="I15" s="105">
        <f t="shared" si="0"/>
        <v>19346.5</v>
      </c>
      <c r="J15" s="57"/>
      <c r="K15" s="58"/>
    </row>
    <row r="16" spans="1:16" ht="15" customHeight="1" x14ac:dyDescent="0.25">
      <c r="A16" s="74">
        <v>46185</v>
      </c>
      <c r="B16" s="62">
        <v>1114</v>
      </c>
      <c r="C16" s="63" t="s">
        <v>300</v>
      </c>
      <c r="D16" s="62" t="s">
        <v>342</v>
      </c>
      <c r="E16" s="62" t="s">
        <v>203</v>
      </c>
      <c r="F16" s="64">
        <v>900</v>
      </c>
      <c r="G16" s="62" t="s">
        <v>338</v>
      </c>
      <c r="H16" s="63" t="s">
        <v>343</v>
      </c>
      <c r="I16" s="106">
        <f t="shared" si="0"/>
        <v>20246.5</v>
      </c>
      <c r="J16" s="62"/>
      <c r="K16" s="63"/>
    </row>
    <row r="17" spans="1:11" ht="15" customHeight="1" x14ac:dyDescent="0.25">
      <c r="A17" s="72">
        <v>46195</v>
      </c>
      <c r="B17" s="57">
        <v>1120</v>
      </c>
      <c r="C17" s="58" t="s">
        <v>289</v>
      </c>
      <c r="D17" s="57" t="s">
        <v>342</v>
      </c>
      <c r="E17" s="57" t="s">
        <v>205</v>
      </c>
      <c r="F17" s="59">
        <v>781</v>
      </c>
      <c r="G17" s="57" t="s">
        <v>338</v>
      </c>
      <c r="H17" s="58" t="s">
        <v>343</v>
      </c>
      <c r="I17" s="105">
        <f t="shared" si="0"/>
        <v>21027.5</v>
      </c>
      <c r="J17" s="57"/>
      <c r="K17" s="58"/>
    </row>
    <row r="18" spans="1:11" ht="15" customHeight="1" x14ac:dyDescent="0.25">
      <c r="A18" s="74">
        <v>46209</v>
      </c>
      <c r="B18" s="62">
        <v>1125</v>
      </c>
      <c r="C18" s="63" t="s">
        <v>286</v>
      </c>
      <c r="D18" s="62" t="s">
        <v>342</v>
      </c>
      <c r="E18" s="62" t="s">
        <v>207</v>
      </c>
      <c r="F18" s="64">
        <v>1200</v>
      </c>
      <c r="G18" s="62" t="s">
        <v>189</v>
      </c>
      <c r="H18" s="63" t="s">
        <v>343</v>
      </c>
      <c r="I18" s="106">
        <f t="shared" si="0"/>
        <v>22227.5</v>
      </c>
      <c r="J18" s="62"/>
      <c r="K18" s="63"/>
    </row>
    <row r="19" spans="1:11" ht="15" customHeight="1" x14ac:dyDescent="0.25">
      <c r="A19" s="72" t="s">
        <v>367</v>
      </c>
      <c r="B19" s="57">
        <v>1138</v>
      </c>
      <c r="C19" s="58" t="s">
        <v>300</v>
      </c>
      <c r="D19" s="57" t="s">
        <v>342</v>
      </c>
      <c r="E19" s="57" t="s">
        <v>209</v>
      </c>
      <c r="F19" s="59">
        <v>1000</v>
      </c>
      <c r="G19" s="57" t="s">
        <v>338</v>
      </c>
      <c r="H19" s="58" t="s">
        <v>337</v>
      </c>
      <c r="I19" s="105">
        <f t="shared" si="0"/>
        <v>23227.5</v>
      </c>
      <c r="J19" s="57"/>
      <c r="K19" s="58"/>
    </row>
    <row r="20" spans="1:11" ht="15" customHeight="1" x14ac:dyDescent="0.25">
      <c r="A20" s="74" t="s">
        <v>389</v>
      </c>
      <c r="B20" s="62">
        <v>1055</v>
      </c>
      <c r="C20" s="63" t="s">
        <v>390</v>
      </c>
      <c r="D20" s="62" t="s">
        <v>342</v>
      </c>
      <c r="E20" s="62" t="s">
        <v>197</v>
      </c>
      <c r="F20" s="64">
        <v>3200</v>
      </c>
      <c r="G20" s="62" t="s">
        <v>191</v>
      </c>
      <c r="H20" s="63" t="s">
        <v>337</v>
      </c>
      <c r="I20" s="106">
        <f t="shared" si="0"/>
        <v>26427.5</v>
      </c>
      <c r="J20" s="62"/>
      <c r="K20" s="63"/>
    </row>
    <row r="21" spans="1:11" ht="15" customHeight="1" x14ac:dyDescent="0.25">
      <c r="A21" s="72"/>
      <c r="B21" s="57"/>
      <c r="C21" s="58"/>
      <c r="D21" s="57"/>
      <c r="E21" s="57"/>
      <c r="F21" s="59"/>
      <c r="G21" s="57"/>
      <c r="H21" s="58"/>
      <c r="I21" s="105" t="str">
        <f t="shared" si="0"/>
        <v/>
      </c>
      <c r="J21" s="57"/>
      <c r="K21" s="58"/>
    </row>
    <row r="22" spans="1:11" ht="15" customHeight="1" x14ac:dyDescent="0.25">
      <c r="A22" s="74"/>
      <c r="B22" s="62"/>
      <c r="C22" s="63"/>
      <c r="D22" s="62"/>
      <c r="E22" s="62"/>
      <c r="F22" s="64"/>
      <c r="G22" s="62"/>
      <c r="H22" s="63"/>
      <c r="I22" s="106" t="str">
        <f t="shared" si="0"/>
        <v/>
      </c>
      <c r="J22" s="62"/>
      <c r="K22" s="63"/>
    </row>
    <row r="23" spans="1:11" ht="15" customHeight="1" x14ac:dyDescent="0.25">
      <c r="A23" s="72"/>
      <c r="B23" s="57"/>
      <c r="C23" s="58"/>
      <c r="D23" s="57"/>
      <c r="E23" s="57"/>
      <c r="F23" s="59"/>
      <c r="G23" s="57"/>
      <c r="H23" s="58"/>
      <c r="I23" s="105" t="str">
        <f t="shared" si="0"/>
        <v/>
      </c>
      <c r="J23" s="57"/>
      <c r="K23" s="58"/>
    </row>
    <row r="24" spans="1:11" ht="15" customHeight="1" x14ac:dyDescent="0.25">
      <c r="A24" s="74"/>
      <c r="B24" s="62"/>
      <c r="C24" s="63"/>
      <c r="D24" s="62"/>
      <c r="E24" s="62"/>
      <c r="F24" s="64"/>
      <c r="G24" s="62"/>
      <c r="H24" s="63"/>
      <c r="I24" s="106" t="str">
        <f t="shared" si="0"/>
        <v/>
      </c>
      <c r="J24" s="62"/>
      <c r="K24" s="63"/>
    </row>
    <row r="25" spans="1:11" ht="15" customHeight="1" x14ac:dyDescent="0.25">
      <c r="A25" s="72"/>
      <c r="B25" s="57"/>
      <c r="C25" s="58"/>
      <c r="D25" s="57"/>
      <c r="E25" s="57"/>
      <c r="F25" s="59"/>
      <c r="G25" s="57"/>
      <c r="H25" s="58"/>
      <c r="I25" s="105" t="str">
        <f t="shared" si="0"/>
        <v/>
      </c>
      <c r="J25" s="57"/>
      <c r="K25" s="58"/>
    </row>
    <row r="26" spans="1:11" ht="15" customHeight="1" x14ac:dyDescent="0.25">
      <c r="A26" s="74"/>
      <c r="B26" s="62"/>
      <c r="C26" s="63"/>
      <c r="D26" s="62"/>
      <c r="E26" s="62"/>
      <c r="F26" s="64"/>
      <c r="G26" s="62"/>
      <c r="H26" s="63"/>
      <c r="I26" s="106" t="str">
        <f t="shared" si="0"/>
        <v/>
      </c>
      <c r="J26" s="62"/>
      <c r="K26" s="63"/>
    </row>
    <row r="27" spans="1:11" ht="15" customHeight="1" x14ac:dyDescent="0.25">
      <c r="A27" s="72"/>
      <c r="B27" s="57"/>
      <c r="C27" s="58"/>
      <c r="D27" s="57"/>
      <c r="E27" s="57"/>
      <c r="F27" s="59"/>
      <c r="G27" s="57"/>
      <c r="H27" s="58"/>
      <c r="I27" s="105" t="str">
        <f t="shared" si="0"/>
        <v/>
      </c>
      <c r="J27" s="57"/>
      <c r="K27" s="58"/>
    </row>
    <row r="28" spans="1:11" ht="15" customHeight="1" x14ac:dyDescent="0.25">
      <c r="A28" s="74"/>
      <c r="B28" s="62"/>
      <c r="C28" s="63"/>
      <c r="D28" s="62"/>
      <c r="E28" s="62"/>
      <c r="F28" s="64"/>
      <c r="G28" s="62"/>
      <c r="H28" s="63"/>
      <c r="I28" s="106" t="str">
        <f t="shared" si="0"/>
        <v/>
      </c>
      <c r="J28" s="62"/>
      <c r="K28" s="63"/>
    </row>
    <row r="29" spans="1:11" ht="15" customHeight="1" x14ac:dyDescent="0.25">
      <c r="A29" s="72"/>
      <c r="B29" s="57"/>
      <c r="C29" s="58"/>
      <c r="D29" s="57"/>
      <c r="E29" s="57"/>
      <c r="F29" s="59"/>
      <c r="G29" s="57"/>
      <c r="H29" s="58"/>
      <c r="I29" s="105" t="str">
        <f t="shared" si="0"/>
        <v/>
      </c>
      <c r="J29" s="57"/>
      <c r="K29" s="58"/>
    </row>
    <row r="30" spans="1:11" ht="15" customHeight="1" x14ac:dyDescent="0.25">
      <c r="A30" s="74"/>
      <c r="B30" s="62"/>
      <c r="C30" s="63"/>
      <c r="D30" s="62"/>
      <c r="E30" s="62"/>
      <c r="F30" s="64"/>
      <c r="G30" s="62"/>
      <c r="H30" s="63"/>
      <c r="I30" s="106" t="str">
        <f t="shared" si="0"/>
        <v/>
      </c>
      <c r="J30" s="62"/>
      <c r="K30" s="63"/>
    </row>
    <row r="31" spans="1:11" ht="15" customHeight="1" x14ac:dyDescent="0.25">
      <c r="A31" s="72"/>
      <c r="B31" s="57"/>
      <c r="C31" s="58"/>
      <c r="D31" s="57"/>
      <c r="E31" s="57"/>
      <c r="F31" s="59"/>
      <c r="G31" s="57"/>
      <c r="H31" s="58"/>
      <c r="I31" s="105" t="str">
        <f t="shared" si="0"/>
        <v/>
      </c>
      <c r="J31" s="57"/>
      <c r="K31" s="58"/>
    </row>
    <row r="32" spans="1:11" ht="15" customHeight="1" x14ac:dyDescent="0.25">
      <c r="A32" s="74"/>
      <c r="B32" s="62"/>
      <c r="C32" s="63"/>
      <c r="D32" s="62"/>
      <c r="E32" s="62"/>
      <c r="F32" s="64"/>
      <c r="G32" s="62"/>
      <c r="H32" s="63"/>
      <c r="I32" s="106" t="str">
        <f t="shared" si="0"/>
        <v/>
      </c>
      <c r="J32" s="62"/>
      <c r="K32" s="63"/>
    </row>
    <row r="33" spans="1:11" ht="15" customHeight="1" x14ac:dyDescent="0.25">
      <c r="A33" s="72"/>
      <c r="B33" s="57"/>
      <c r="C33" s="58"/>
      <c r="D33" s="57"/>
      <c r="E33" s="57"/>
      <c r="F33" s="59"/>
      <c r="G33" s="57"/>
      <c r="H33" s="58"/>
      <c r="I33" s="105" t="str">
        <f t="shared" si="0"/>
        <v/>
      </c>
      <c r="J33" s="57"/>
      <c r="K33" s="58"/>
    </row>
    <row r="34" spans="1:11" ht="15" customHeight="1" x14ac:dyDescent="0.25">
      <c r="A34" s="74"/>
      <c r="B34" s="62"/>
      <c r="C34" s="63"/>
      <c r="D34" s="62"/>
      <c r="E34" s="62"/>
      <c r="F34" s="64"/>
      <c r="G34" s="62"/>
      <c r="H34" s="63"/>
      <c r="I34" s="106" t="str">
        <f t="shared" si="0"/>
        <v/>
      </c>
      <c r="J34" s="62"/>
      <c r="K34" s="63"/>
    </row>
    <row r="35" spans="1:11" ht="15" customHeight="1" x14ac:dyDescent="0.25">
      <c r="A35" s="72"/>
      <c r="B35" s="57"/>
      <c r="C35" s="58"/>
      <c r="D35" s="57"/>
      <c r="E35" s="57"/>
      <c r="F35" s="59"/>
      <c r="G35" s="57"/>
      <c r="H35" s="58"/>
      <c r="I35" s="105" t="str">
        <f t="shared" si="0"/>
        <v/>
      </c>
      <c r="J35" s="57"/>
      <c r="K35" s="58"/>
    </row>
    <row r="36" spans="1:11" ht="15" customHeight="1" x14ac:dyDescent="0.25">
      <c r="A36" s="74"/>
      <c r="B36" s="62"/>
      <c r="C36" s="63"/>
      <c r="D36" s="62"/>
      <c r="E36" s="62"/>
      <c r="F36" s="64"/>
      <c r="G36" s="62"/>
      <c r="H36" s="63"/>
      <c r="I36" s="106" t="str">
        <f t="shared" si="0"/>
        <v/>
      </c>
      <c r="J36" s="62"/>
      <c r="K36" s="63"/>
    </row>
    <row r="37" spans="1:11" ht="15" customHeight="1" x14ac:dyDescent="0.25">
      <c r="A37" s="72"/>
      <c r="B37" s="57"/>
      <c r="C37" s="58"/>
      <c r="D37" s="57"/>
      <c r="E37" s="57"/>
      <c r="F37" s="59"/>
      <c r="G37" s="57"/>
      <c r="H37" s="58"/>
      <c r="I37" s="105" t="str">
        <f t="shared" si="0"/>
        <v/>
      </c>
      <c r="J37" s="57"/>
      <c r="K37" s="58"/>
    </row>
    <row r="38" spans="1:11" ht="15" customHeight="1" x14ac:dyDescent="0.25">
      <c r="A38" s="74"/>
      <c r="B38" s="62"/>
      <c r="C38" s="63"/>
      <c r="D38" s="62"/>
      <c r="E38" s="62"/>
      <c r="F38" s="64"/>
      <c r="G38" s="62"/>
      <c r="H38" s="63"/>
      <c r="I38" s="106" t="str">
        <f t="shared" ref="I38:I69" si="1">IF(F38="","",IF(I37="",F38,I37+F38))</f>
        <v/>
      </c>
      <c r="J38" s="62"/>
      <c r="K38" s="63"/>
    </row>
    <row r="39" spans="1:11" ht="15" customHeight="1" x14ac:dyDescent="0.25">
      <c r="A39" s="72"/>
      <c r="B39" s="57"/>
      <c r="C39" s="58"/>
      <c r="D39" s="57"/>
      <c r="E39" s="57"/>
      <c r="F39" s="59"/>
      <c r="G39" s="57"/>
      <c r="H39" s="58"/>
      <c r="I39" s="105" t="str">
        <f t="shared" si="1"/>
        <v/>
      </c>
      <c r="J39" s="57"/>
      <c r="K39" s="58"/>
    </row>
    <row r="40" spans="1:11" ht="15" customHeight="1" x14ac:dyDescent="0.25">
      <c r="A40" s="74"/>
      <c r="B40" s="62"/>
      <c r="C40" s="63"/>
      <c r="D40" s="62"/>
      <c r="E40" s="62"/>
      <c r="F40" s="64"/>
      <c r="G40" s="62"/>
      <c r="H40" s="63"/>
      <c r="I40" s="106" t="str">
        <f t="shared" si="1"/>
        <v/>
      </c>
      <c r="J40" s="62"/>
      <c r="K40" s="63"/>
    </row>
    <row r="41" spans="1:11" ht="15" customHeight="1" x14ac:dyDescent="0.25">
      <c r="A41" s="72"/>
      <c r="B41" s="57"/>
      <c r="C41" s="58"/>
      <c r="D41" s="57"/>
      <c r="E41" s="57"/>
      <c r="F41" s="59"/>
      <c r="G41" s="57"/>
      <c r="H41" s="58"/>
      <c r="I41" s="105" t="str">
        <f t="shared" si="1"/>
        <v/>
      </c>
      <c r="J41" s="57"/>
      <c r="K41" s="58"/>
    </row>
    <row r="42" spans="1:11" ht="15" customHeight="1" x14ac:dyDescent="0.25">
      <c r="A42" s="74"/>
      <c r="B42" s="62"/>
      <c r="C42" s="63"/>
      <c r="D42" s="62"/>
      <c r="E42" s="62"/>
      <c r="F42" s="64"/>
      <c r="G42" s="62"/>
      <c r="H42" s="63"/>
      <c r="I42" s="106" t="str">
        <f t="shared" si="1"/>
        <v/>
      </c>
      <c r="J42" s="62"/>
      <c r="K42" s="63"/>
    </row>
    <row r="43" spans="1:11" ht="15" customHeight="1" x14ac:dyDescent="0.25">
      <c r="A43" s="72"/>
      <c r="B43" s="57"/>
      <c r="C43" s="58"/>
      <c r="D43" s="57"/>
      <c r="E43" s="57"/>
      <c r="F43" s="59"/>
      <c r="G43" s="57"/>
      <c r="H43" s="58"/>
      <c r="I43" s="105" t="str">
        <f t="shared" si="1"/>
        <v/>
      </c>
      <c r="J43" s="57"/>
      <c r="K43" s="58"/>
    </row>
    <row r="44" spans="1:11" ht="15" customHeight="1" x14ac:dyDescent="0.25">
      <c r="A44" s="74"/>
      <c r="B44" s="62"/>
      <c r="C44" s="63"/>
      <c r="D44" s="62"/>
      <c r="E44" s="62"/>
      <c r="F44" s="64"/>
      <c r="G44" s="62"/>
      <c r="H44" s="63"/>
      <c r="I44" s="106" t="str">
        <f t="shared" si="1"/>
        <v/>
      </c>
      <c r="J44" s="62"/>
      <c r="K44" s="63"/>
    </row>
    <row r="45" spans="1:11" ht="15" customHeight="1" x14ac:dyDescent="0.25">
      <c r="A45" s="72"/>
      <c r="B45" s="57"/>
      <c r="C45" s="58"/>
      <c r="D45" s="57"/>
      <c r="E45" s="57"/>
      <c r="F45" s="59"/>
      <c r="G45" s="57"/>
      <c r="H45" s="58"/>
      <c r="I45" s="105" t="str">
        <f t="shared" si="1"/>
        <v/>
      </c>
      <c r="J45" s="57"/>
      <c r="K45" s="58"/>
    </row>
    <row r="46" spans="1:11" ht="15" customHeight="1" x14ac:dyDescent="0.25">
      <c r="A46" s="74"/>
      <c r="B46" s="62"/>
      <c r="C46" s="63"/>
      <c r="D46" s="62"/>
      <c r="E46" s="62"/>
      <c r="F46" s="64"/>
      <c r="G46" s="62"/>
      <c r="H46" s="63"/>
      <c r="I46" s="106" t="str">
        <f t="shared" si="1"/>
        <v/>
      </c>
      <c r="J46" s="62"/>
      <c r="K46" s="63"/>
    </row>
    <row r="47" spans="1:11" ht="15" customHeight="1" x14ac:dyDescent="0.25">
      <c r="A47" s="72"/>
      <c r="B47" s="57"/>
      <c r="C47" s="58"/>
      <c r="D47" s="57"/>
      <c r="E47" s="57"/>
      <c r="F47" s="59"/>
      <c r="G47" s="57"/>
      <c r="H47" s="58"/>
      <c r="I47" s="105" t="str">
        <f t="shared" si="1"/>
        <v/>
      </c>
      <c r="J47" s="57"/>
      <c r="K47" s="58"/>
    </row>
    <row r="48" spans="1:11" ht="15" customHeight="1" x14ac:dyDescent="0.25">
      <c r="A48" s="74"/>
      <c r="B48" s="62"/>
      <c r="C48" s="63"/>
      <c r="D48" s="62"/>
      <c r="E48" s="62"/>
      <c r="F48" s="64"/>
      <c r="G48" s="62"/>
      <c r="H48" s="63"/>
      <c r="I48" s="106" t="str">
        <f t="shared" si="1"/>
        <v/>
      </c>
      <c r="J48" s="62"/>
      <c r="K48" s="63"/>
    </row>
    <row r="49" spans="1:11" ht="15" customHeight="1" x14ac:dyDescent="0.25">
      <c r="A49" s="72"/>
      <c r="B49" s="57"/>
      <c r="C49" s="58"/>
      <c r="D49" s="57"/>
      <c r="E49" s="57"/>
      <c r="F49" s="59"/>
      <c r="G49" s="57"/>
      <c r="H49" s="58"/>
      <c r="I49" s="105" t="str">
        <f t="shared" si="1"/>
        <v/>
      </c>
      <c r="J49" s="57"/>
      <c r="K49" s="58"/>
    </row>
    <row r="50" spans="1:11" ht="15" customHeight="1" x14ac:dyDescent="0.25">
      <c r="A50" s="74"/>
      <c r="B50" s="62"/>
      <c r="C50" s="63"/>
      <c r="D50" s="62"/>
      <c r="E50" s="62"/>
      <c r="F50" s="64"/>
      <c r="G50" s="62"/>
      <c r="H50" s="63"/>
      <c r="I50" s="106" t="str">
        <f t="shared" si="1"/>
        <v/>
      </c>
      <c r="J50" s="62"/>
      <c r="K50" s="63"/>
    </row>
    <row r="51" spans="1:11" ht="15" customHeight="1" x14ac:dyDescent="0.25">
      <c r="A51" s="72"/>
      <c r="B51" s="57"/>
      <c r="C51" s="58"/>
      <c r="D51" s="57"/>
      <c r="E51" s="57"/>
      <c r="F51" s="59"/>
      <c r="G51" s="57"/>
      <c r="H51" s="58"/>
      <c r="I51" s="105" t="str">
        <f t="shared" si="1"/>
        <v/>
      </c>
      <c r="J51" s="57"/>
      <c r="K51" s="58"/>
    </row>
    <row r="52" spans="1:11" ht="15" customHeight="1" x14ac:dyDescent="0.25">
      <c r="A52" s="74"/>
      <c r="B52" s="62"/>
      <c r="C52" s="63"/>
      <c r="D52" s="62"/>
      <c r="E52" s="62"/>
      <c r="F52" s="64"/>
      <c r="G52" s="62"/>
      <c r="H52" s="63"/>
      <c r="I52" s="106" t="str">
        <f t="shared" si="1"/>
        <v/>
      </c>
      <c r="J52" s="62"/>
      <c r="K52" s="63"/>
    </row>
    <row r="53" spans="1:11" ht="15" customHeight="1" x14ac:dyDescent="0.25">
      <c r="A53" s="72"/>
      <c r="B53" s="57"/>
      <c r="C53" s="58"/>
      <c r="D53" s="57"/>
      <c r="E53" s="57"/>
      <c r="F53" s="59"/>
      <c r="G53" s="57"/>
      <c r="H53" s="58"/>
      <c r="I53" s="105" t="str">
        <f t="shared" si="1"/>
        <v/>
      </c>
      <c r="J53" s="57"/>
      <c r="K53" s="58"/>
    </row>
    <row r="54" spans="1:11" ht="15" customHeight="1" x14ac:dyDescent="0.25">
      <c r="A54" s="74"/>
      <c r="B54" s="62"/>
      <c r="C54" s="63"/>
      <c r="D54" s="62"/>
      <c r="E54" s="62"/>
      <c r="F54" s="64"/>
      <c r="G54" s="62"/>
      <c r="H54" s="63"/>
      <c r="I54" s="106" t="str">
        <f t="shared" si="1"/>
        <v/>
      </c>
      <c r="J54" s="62"/>
      <c r="K54" s="63"/>
    </row>
    <row r="55" spans="1:11" ht="15" customHeight="1" x14ac:dyDescent="0.25">
      <c r="A55" s="72"/>
      <c r="B55" s="57"/>
      <c r="C55" s="58"/>
      <c r="D55" s="57"/>
      <c r="E55" s="57"/>
      <c r="F55" s="59"/>
      <c r="G55" s="57"/>
      <c r="H55" s="58"/>
      <c r="I55" s="105" t="str">
        <f t="shared" si="1"/>
        <v/>
      </c>
      <c r="J55" s="57"/>
      <c r="K55" s="58"/>
    </row>
    <row r="56" spans="1:11" ht="15" customHeight="1" x14ac:dyDescent="0.25">
      <c r="A56" s="74"/>
      <c r="B56" s="62"/>
      <c r="C56" s="63"/>
      <c r="D56" s="62"/>
      <c r="E56" s="62"/>
      <c r="F56" s="64"/>
      <c r="G56" s="62"/>
      <c r="H56" s="63"/>
      <c r="I56" s="106" t="str">
        <f t="shared" si="1"/>
        <v/>
      </c>
      <c r="J56" s="62"/>
      <c r="K56" s="63"/>
    </row>
    <row r="57" spans="1:11" ht="15" customHeight="1" x14ac:dyDescent="0.25">
      <c r="A57" s="72"/>
      <c r="B57" s="57"/>
      <c r="C57" s="58"/>
      <c r="D57" s="57"/>
      <c r="E57" s="57"/>
      <c r="F57" s="59"/>
      <c r="G57" s="57"/>
      <c r="H57" s="58"/>
      <c r="I57" s="105" t="str">
        <f t="shared" si="1"/>
        <v/>
      </c>
      <c r="J57" s="57"/>
      <c r="K57" s="58"/>
    </row>
    <row r="58" spans="1:11" ht="15" customHeight="1" x14ac:dyDescent="0.25">
      <c r="A58" s="74"/>
      <c r="B58" s="62"/>
      <c r="C58" s="63"/>
      <c r="D58" s="62"/>
      <c r="E58" s="62"/>
      <c r="F58" s="64"/>
      <c r="G58" s="62"/>
      <c r="H58" s="63"/>
      <c r="I58" s="106" t="str">
        <f t="shared" si="1"/>
        <v/>
      </c>
      <c r="J58" s="62"/>
      <c r="K58" s="63"/>
    </row>
    <row r="59" spans="1:11" ht="15" customHeight="1" x14ac:dyDescent="0.25">
      <c r="A59" s="72"/>
      <c r="B59" s="57"/>
      <c r="C59" s="58"/>
      <c r="D59" s="57"/>
      <c r="E59" s="57"/>
      <c r="F59" s="59"/>
      <c r="G59" s="57"/>
      <c r="H59" s="58"/>
      <c r="I59" s="105" t="str">
        <f t="shared" si="1"/>
        <v/>
      </c>
      <c r="J59" s="57"/>
      <c r="K59" s="58"/>
    </row>
    <row r="60" spans="1:11" ht="15" customHeight="1" x14ac:dyDescent="0.25">
      <c r="A60" s="74"/>
      <c r="B60" s="62"/>
      <c r="C60" s="63"/>
      <c r="D60" s="62"/>
      <c r="E60" s="62"/>
      <c r="F60" s="64"/>
      <c r="G60" s="62"/>
      <c r="H60" s="63"/>
      <c r="I60" s="106" t="str">
        <f t="shared" si="1"/>
        <v/>
      </c>
      <c r="J60" s="62"/>
      <c r="K60" s="63"/>
    </row>
    <row r="61" spans="1:11" ht="15" customHeight="1" x14ac:dyDescent="0.25">
      <c r="A61" s="72"/>
      <c r="B61" s="57"/>
      <c r="C61" s="58"/>
      <c r="D61" s="57"/>
      <c r="E61" s="57"/>
      <c r="F61" s="59"/>
      <c r="G61" s="57"/>
      <c r="H61" s="58"/>
      <c r="I61" s="105" t="str">
        <f t="shared" si="1"/>
        <v/>
      </c>
      <c r="J61" s="57"/>
      <c r="K61" s="58"/>
    </row>
    <row r="62" spans="1:11" ht="15" customHeight="1" x14ac:dyDescent="0.25">
      <c r="A62" s="74"/>
      <c r="B62" s="62"/>
      <c r="C62" s="63"/>
      <c r="D62" s="62"/>
      <c r="E62" s="62"/>
      <c r="F62" s="64"/>
      <c r="G62" s="62"/>
      <c r="H62" s="63"/>
      <c r="I62" s="106" t="str">
        <f t="shared" si="1"/>
        <v/>
      </c>
      <c r="J62" s="62"/>
      <c r="K62" s="63"/>
    </row>
    <row r="63" spans="1:11" ht="15" customHeight="1" x14ac:dyDescent="0.25">
      <c r="A63" s="72"/>
      <c r="B63" s="57"/>
      <c r="C63" s="58"/>
      <c r="D63" s="57"/>
      <c r="E63" s="57"/>
      <c r="F63" s="59"/>
      <c r="G63" s="57"/>
      <c r="H63" s="58"/>
      <c r="I63" s="105" t="str">
        <f t="shared" si="1"/>
        <v/>
      </c>
      <c r="J63" s="57"/>
      <c r="K63" s="58"/>
    </row>
    <row r="64" spans="1:11" ht="15" customHeight="1" x14ac:dyDescent="0.25">
      <c r="A64" s="74"/>
      <c r="B64" s="62"/>
      <c r="C64" s="63"/>
      <c r="D64" s="62"/>
      <c r="E64" s="62"/>
      <c r="F64" s="64"/>
      <c r="G64" s="62"/>
      <c r="H64" s="63"/>
      <c r="I64" s="106" t="str">
        <f t="shared" si="1"/>
        <v/>
      </c>
      <c r="J64" s="62"/>
      <c r="K64" s="63"/>
    </row>
    <row r="65" spans="1:11" ht="15" customHeight="1" x14ac:dyDescent="0.25">
      <c r="A65" s="72"/>
      <c r="B65" s="57"/>
      <c r="C65" s="58"/>
      <c r="D65" s="57"/>
      <c r="E65" s="57"/>
      <c r="F65" s="59"/>
      <c r="G65" s="57"/>
      <c r="H65" s="58"/>
      <c r="I65" s="105" t="str">
        <f t="shared" si="1"/>
        <v/>
      </c>
      <c r="J65" s="57"/>
      <c r="K65" s="58"/>
    </row>
    <row r="66" spans="1:11" ht="15" customHeight="1" x14ac:dyDescent="0.25">
      <c r="A66" s="74"/>
      <c r="B66" s="62"/>
      <c r="C66" s="63"/>
      <c r="D66" s="62"/>
      <c r="E66" s="62"/>
      <c r="F66" s="64"/>
      <c r="G66" s="62"/>
      <c r="H66" s="63"/>
      <c r="I66" s="106" t="str">
        <f t="shared" si="1"/>
        <v/>
      </c>
      <c r="J66" s="62"/>
      <c r="K66" s="63"/>
    </row>
    <row r="67" spans="1:11" ht="15" customHeight="1" x14ac:dyDescent="0.25">
      <c r="A67" s="72"/>
      <c r="B67" s="57"/>
      <c r="C67" s="58"/>
      <c r="D67" s="57"/>
      <c r="E67" s="57"/>
      <c r="F67" s="59"/>
      <c r="G67" s="57"/>
      <c r="H67" s="58"/>
      <c r="I67" s="105" t="str">
        <f t="shared" si="1"/>
        <v/>
      </c>
      <c r="J67" s="57"/>
      <c r="K67" s="58"/>
    </row>
    <row r="68" spans="1:11" ht="15" customHeight="1" x14ac:dyDescent="0.25">
      <c r="A68" s="74"/>
      <c r="B68" s="62"/>
      <c r="C68" s="63"/>
      <c r="D68" s="62"/>
      <c r="E68" s="62"/>
      <c r="F68" s="64"/>
      <c r="G68" s="62"/>
      <c r="H68" s="63"/>
      <c r="I68" s="106" t="str">
        <f t="shared" si="1"/>
        <v/>
      </c>
      <c r="J68" s="62"/>
      <c r="K68" s="63"/>
    </row>
    <row r="69" spans="1:11" ht="15" customHeight="1" x14ac:dyDescent="0.25">
      <c r="A69" s="72"/>
      <c r="B69" s="57"/>
      <c r="C69" s="58"/>
      <c r="D69" s="57"/>
      <c r="E69" s="57"/>
      <c r="F69" s="59"/>
      <c r="G69" s="57"/>
      <c r="H69" s="58"/>
      <c r="I69" s="105" t="str">
        <f t="shared" si="1"/>
        <v/>
      </c>
      <c r="J69" s="57"/>
      <c r="K69" s="58"/>
    </row>
    <row r="70" spans="1:11" ht="15" customHeight="1" x14ac:dyDescent="0.25">
      <c r="A70" s="74"/>
      <c r="B70" s="62"/>
      <c r="C70" s="63"/>
      <c r="D70" s="62"/>
      <c r="E70" s="62"/>
      <c r="F70" s="64"/>
      <c r="G70" s="62"/>
      <c r="H70" s="63"/>
      <c r="I70" s="106" t="str">
        <f t="shared" ref="I70:I101" si="2">IF(F70="","",IF(I69="",F70,I69+F70))</f>
        <v/>
      </c>
      <c r="J70" s="62"/>
      <c r="K70" s="63"/>
    </row>
    <row r="71" spans="1:11" ht="15" customHeight="1" x14ac:dyDescent="0.25">
      <c r="A71" s="72"/>
      <c r="B71" s="57"/>
      <c r="C71" s="58"/>
      <c r="D71" s="57"/>
      <c r="E71" s="57"/>
      <c r="F71" s="59"/>
      <c r="G71" s="57"/>
      <c r="H71" s="58"/>
      <c r="I71" s="105" t="str">
        <f t="shared" si="2"/>
        <v/>
      </c>
      <c r="J71" s="57"/>
      <c r="K71" s="58"/>
    </row>
    <row r="72" spans="1:11" ht="15" customHeight="1" x14ac:dyDescent="0.25">
      <c r="A72" s="74"/>
      <c r="B72" s="62"/>
      <c r="C72" s="63"/>
      <c r="D72" s="62"/>
      <c r="E72" s="62"/>
      <c r="F72" s="64"/>
      <c r="G72" s="62"/>
      <c r="H72" s="63"/>
      <c r="I72" s="106" t="str">
        <f t="shared" si="2"/>
        <v/>
      </c>
      <c r="J72" s="62"/>
      <c r="K72" s="63"/>
    </row>
    <row r="73" spans="1:11" ht="15" customHeight="1" x14ac:dyDescent="0.25">
      <c r="A73" s="72"/>
      <c r="B73" s="57"/>
      <c r="C73" s="58"/>
      <c r="D73" s="57"/>
      <c r="E73" s="57"/>
      <c r="F73" s="59"/>
      <c r="G73" s="57"/>
      <c r="H73" s="58"/>
      <c r="I73" s="105" t="str">
        <f t="shared" si="2"/>
        <v/>
      </c>
      <c r="J73" s="57"/>
      <c r="K73" s="58"/>
    </row>
    <row r="74" spans="1:11" ht="15" customHeight="1" x14ac:dyDescent="0.25">
      <c r="A74" s="74"/>
      <c r="B74" s="62"/>
      <c r="C74" s="63"/>
      <c r="D74" s="62"/>
      <c r="E74" s="62"/>
      <c r="F74" s="64"/>
      <c r="G74" s="62"/>
      <c r="H74" s="63"/>
      <c r="I74" s="106" t="str">
        <f t="shared" si="2"/>
        <v/>
      </c>
      <c r="J74" s="62"/>
      <c r="K74" s="63"/>
    </row>
    <row r="75" spans="1:11" ht="15" customHeight="1" x14ac:dyDescent="0.25">
      <c r="A75" s="72"/>
      <c r="B75" s="57"/>
      <c r="C75" s="58"/>
      <c r="D75" s="57"/>
      <c r="E75" s="57"/>
      <c r="F75" s="59"/>
      <c r="G75" s="57"/>
      <c r="H75" s="58"/>
      <c r="I75" s="105" t="str">
        <f t="shared" si="2"/>
        <v/>
      </c>
      <c r="J75" s="57"/>
      <c r="K75" s="58"/>
    </row>
    <row r="76" spans="1:11" ht="15" customHeight="1" x14ac:dyDescent="0.25">
      <c r="A76" s="74"/>
      <c r="B76" s="62"/>
      <c r="C76" s="63"/>
      <c r="D76" s="62"/>
      <c r="E76" s="62"/>
      <c r="F76" s="64"/>
      <c r="G76" s="62"/>
      <c r="H76" s="63"/>
      <c r="I76" s="106" t="str">
        <f t="shared" si="2"/>
        <v/>
      </c>
      <c r="J76" s="62"/>
      <c r="K76" s="63"/>
    </row>
    <row r="77" spans="1:11" ht="15" customHeight="1" x14ac:dyDescent="0.25">
      <c r="A77" s="72"/>
      <c r="B77" s="57"/>
      <c r="C77" s="58"/>
      <c r="D77" s="57"/>
      <c r="E77" s="57"/>
      <c r="F77" s="59"/>
      <c r="G77" s="57"/>
      <c r="H77" s="58"/>
      <c r="I77" s="105" t="str">
        <f t="shared" si="2"/>
        <v/>
      </c>
      <c r="J77" s="57"/>
      <c r="K77" s="58"/>
    </row>
    <row r="78" spans="1:11" ht="15" customHeight="1" x14ac:dyDescent="0.25">
      <c r="A78" s="74"/>
      <c r="B78" s="62"/>
      <c r="C78" s="63"/>
      <c r="D78" s="62"/>
      <c r="E78" s="62"/>
      <c r="F78" s="64"/>
      <c r="G78" s="62"/>
      <c r="H78" s="63"/>
      <c r="I78" s="106" t="str">
        <f t="shared" si="2"/>
        <v/>
      </c>
      <c r="J78" s="62"/>
      <c r="K78" s="63"/>
    </row>
    <row r="79" spans="1:11" ht="15" customHeight="1" x14ac:dyDescent="0.25">
      <c r="A79" s="72"/>
      <c r="B79" s="57"/>
      <c r="C79" s="58"/>
      <c r="D79" s="57"/>
      <c r="E79" s="57"/>
      <c r="F79" s="59"/>
      <c r="G79" s="57"/>
      <c r="H79" s="58"/>
      <c r="I79" s="105" t="str">
        <f t="shared" si="2"/>
        <v/>
      </c>
      <c r="J79" s="57"/>
      <c r="K79" s="58"/>
    </row>
    <row r="80" spans="1:11" ht="15" customHeight="1" x14ac:dyDescent="0.25">
      <c r="A80" s="74"/>
      <c r="B80" s="62"/>
      <c r="C80" s="63"/>
      <c r="D80" s="62"/>
      <c r="E80" s="62"/>
      <c r="F80" s="64"/>
      <c r="G80" s="62"/>
      <c r="H80" s="63"/>
      <c r="I80" s="106" t="str">
        <f t="shared" si="2"/>
        <v/>
      </c>
      <c r="J80" s="62"/>
      <c r="K80" s="63"/>
    </row>
    <row r="81" spans="1:11" ht="15" customHeight="1" x14ac:dyDescent="0.25">
      <c r="A81" s="72"/>
      <c r="B81" s="57"/>
      <c r="C81" s="58"/>
      <c r="D81" s="57"/>
      <c r="E81" s="57"/>
      <c r="F81" s="59"/>
      <c r="G81" s="57"/>
      <c r="H81" s="58"/>
      <c r="I81" s="105" t="str">
        <f t="shared" si="2"/>
        <v/>
      </c>
      <c r="J81" s="57"/>
      <c r="K81" s="58"/>
    </row>
    <row r="82" spans="1:11" ht="15" customHeight="1" x14ac:dyDescent="0.25">
      <c r="A82" s="74"/>
      <c r="B82" s="62"/>
      <c r="C82" s="63"/>
      <c r="D82" s="62"/>
      <c r="E82" s="62"/>
      <c r="F82" s="64"/>
      <c r="G82" s="62"/>
      <c r="H82" s="63"/>
      <c r="I82" s="106" t="str">
        <f t="shared" si="2"/>
        <v/>
      </c>
      <c r="J82" s="62"/>
      <c r="K82" s="63"/>
    </row>
    <row r="83" spans="1:11" ht="15" customHeight="1" x14ac:dyDescent="0.25">
      <c r="A83" s="72"/>
      <c r="B83" s="57"/>
      <c r="C83" s="58"/>
      <c r="D83" s="57"/>
      <c r="E83" s="57"/>
      <c r="F83" s="59"/>
      <c r="G83" s="57"/>
      <c r="H83" s="58"/>
      <c r="I83" s="105" t="str">
        <f t="shared" si="2"/>
        <v/>
      </c>
      <c r="J83" s="57"/>
      <c r="K83" s="58"/>
    </row>
    <row r="84" spans="1:11" ht="15" customHeight="1" x14ac:dyDescent="0.25">
      <c r="A84" s="74"/>
      <c r="B84" s="62"/>
      <c r="C84" s="63"/>
      <c r="D84" s="62"/>
      <c r="E84" s="62"/>
      <c r="F84" s="64"/>
      <c r="G84" s="62"/>
      <c r="H84" s="63"/>
      <c r="I84" s="106" t="str">
        <f t="shared" si="2"/>
        <v/>
      </c>
      <c r="J84" s="62"/>
      <c r="K84" s="63"/>
    </row>
    <row r="85" spans="1:11" ht="15" customHeight="1" x14ac:dyDescent="0.25">
      <c r="A85" s="72"/>
      <c r="B85" s="57"/>
      <c r="C85" s="58"/>
      <c r="D85" s="57"/>
      <c r="E85" s="57"/>
      <c r="F85" s="59"/>
      <c r="G85" s="57"/>
      <c r="H85" s="58"/>
      <c r="I85" s="105" t="str">
        <f t="shared" si="2"/>
        <v/>
      </c>
      <c r="J85" s="57"/>
      <c r="K85" s="58"/>
    </row>
    <row r="86" spans="1:11" ht="15" customHeight="1" x14ac:dyDescent="0.25">
      <c r="A86" s="74"/>
      <c r="B86" s="62"/>
      <c r="C86" s="63"/>
      <c r="D86" s="62"/>
      <c r="E86" s="62"/>
      <c r="F86" s="64"/>
      <c r="G86" s="62"/>
      <c r="H86" s="63"/>
      <c r="I86" s="106" t="str">
        <f t="shared" si="2"/>
        <v/>
      </c>
      <c r="J86" s="62"/>
      <c r="K86" s="63"/>
    </row>
    <row r="87" spans="1:11" ht="15" customHeight="1" x14ac:dyDescent="0.25">
      <c r="A87" s="72"/>
      <c r="B87" s="57"/>
      <c r="C87" s="58"/>
      <c r="D87" s="57"/>
      <c r="E87" s="57"/>
      <c r="F87" s="59"/>
      <c r="G87" s="57"/>
      <c r="H87" s="58"/>
      <c r="I87" s="105" t="str">
        <f t="shared" si="2"/>
        <v/>
      </c>
      <c r="J87" s="57"/>
      <c r="K87" s="58"/>
    </row>
    <row r="88" spans="1:11" ht="15" customHeight="1" x14ac:dyDescent="0.25">
      <c r="A88" s="74"/>
      <c r="B88" s="62"/>
      <c r="C88" s="63"/>
      <c r="D88" s="62"/>
      <c r="E88" s="62"/>
      <c r="F88" s="64"/>
      <c r="G88" s="62"/>
      <c r="H88" s="63"/>
      <c r="I88" s="106" t="str">
        <f t="shared" si="2"/>
        <v/>
      </c>
      <c r="J88" s="62"/>
      <c r="K88" s="63"/>
    </row>
    <row r="89" spans="1:11" ht="15" customHeight="1" x14ac:dyDescent="0.25">
      <c r="A89" s="72"/>
      <c r="B89" s="57"/>
      <c r="C89" s="58"/>
      <c r="D89" s="57"/>
      <c r="E89" s="57"/>
      <c r="F89" s="59"/>
      <c r="G89" s="57"/>
      <c r="H89" s="58"/>
      <c r="I89" s="105" t="str">
        <f t="shared" si="2"/>
        <v/>
      </c>
      <c r="J89" s="57"/>
      <c r="K89" s="58"/>
    </row>
    <row r="90" spans="1:11" ht="15" customHeight="1" x14ac:dyDescent="0.25">
      <c r="A90" s="74"/>
      <c r="B90" s="62"/>
      <c r="C90" s="63"/>
      <c r="D90" s="62"/>
      <c r="E90" s="62"/>
      <c r="F90" s="64"/>
      <c r="G90" s="62"/>
      <c r="H90" s="63"/>
      <c r="I90" s="106" t="str">
        <f t="shared" si="2"/>
        <v/>
      </c>
      <c r="J90" s="62"/>
      <c r="K90" s="63"/>
    </row>
    <row r="91" spans="1:11" ht="15" customHeight="1" x14ac:dyDescent="0.25">
      <c r="A91" s="72"/>
      <c r="B91" s="57"/>
      <c r="C91" s="58"/>
      <c r="D91" s="57"/>
      <c r="E91" s="57"/>
      <c r="F91" s="59"/>
      <c r="G91" s="57"/>
      <c r="H91" s="58"/>
      <c r="I91" s="105" t="str">
        <f t="shared" si="2"/>
        <v/>
      </c>
      <c r="J91" s="57"/>
      <c r="K91" s="58"/>
    </row>
    <row r="92" spans="1:11" ht="15" customHeight="1" x14ac:dyDescent="0.25">
      <c r="A92" s="74"/>
      <c r="B92" s="62"/>
      <c r="C92" s="63"/>
      <c r="D92" s="62"/>
      <c r="E92" s="62"/>
      <c r="F92" s="64"/>
      <c r="G92" s="62"/>
      <c r="H92" s="63"/>
      <c r="I92" s="106" t="str">
        <f t="shared" si="2"/>
        <v/>
      </c>
      <c r="J92" s="62"/>
      <c r="K92" s="63"/>
    </row>
    <row r="93" spans="1:11" ht="15" customHeight="1" x14ac:dyDescent="0.25">
      <c r="A93" s="72"/>
      <c r="B93" s="57"/>
      <c r="C93" s="58"/>
      <c r="D93" s="57"/>
      <c r="E93" s="57"/>
      <c r="F93" s="59"/>
      <c r="G93" s="57"/>
      <c r="H93" s="58"/>
      <c r="I93" s="105" t="str">
        <f t="shared" si="2"/>
        <v/>
      </c>
      <c r="J93" s="57"/>
      <c r="K93" s="58"/>
    </row>
    <row r="94" spans="1:11" ht="15" customHeight="1" x14ac:dyDescent="0.25">
      <c r="A94" s="74"/>
      <c r="B94" s="62"/>
      <c r="C94" s="63"/>
      <c r="D94" s="62"/>
      <c r="E94" s="62"/>
      <c r="F94" s="64"/>
      <c r="G94" s="62"/>
      <c r="H94" s="63"/>
      <c r="I94" s="106" t="str">
        <f t="shared" si="2"/>
        <v/>
      </c>
      <c r="J94" s="62"/>
      <c r="K94" s="63"/>
    </row>
    <row r="95" spans="1:11" ht="15" customHeight="1" x14ac:dyDescent="0.25">
      <c r="A95" s="72"/>
      <c r="B95" s="57"/>
      <c r="C95" s="58"/>
      <c r="D95" s="57"/>
      <c r="E95" s="57"/>
      <c r="F95" s="59"/>
      <c r="G95" s="57"/>
      <c r="H95" s="58"/>
      <c r="I95" s="105" t="str">
        <f t="shared" si="2"/>
        <v/>
      </c>
      <c r="J95" s="57"/>
      <c r="K95" s="58"/>
    </row>
    <row r="96" spans="1:11" ht="15" customHeight="1" x14ac:dyDescent="0.25">
      <c r="A96" s="74"/>
      <c r="B96" s="62"/>
      <c r="C96" s="63"/>
      <c r="D96" s="62"/>
      <c r="E96" s="62"/>
      <c r="F96" s="64"/>
      <c r="G96" s="62"/>
      <c r="H96" s="63"/>
      <c r="I96" s="106" t="str">
        <f t="shared" si="2"/>
        <v/>
      </c>
      <c r="J96" s="62"/>
      <c r="K96" s="63"/>
    </row>
    <row r="97" spans="1:11" ht="15" customHeight="1" x14ac:dyDescent="0.25">
      <c r="A97" s="72"/>
      <c r="B97" s="57"/>
      <c r="C97" s="58"/>
      <c r="D97" s="57"/>
      <c r="E97" s="57"/>
      <c r="F97" s="59"/>
      <c r="G97" s="57"/>
      <c r="H97" s="58"/>
      <c r="I97" s="105" t="str">
        <f t="shared" si="2"/>
        <v/>
      </c>
      <c r="J97" s="57"/>
      <c r="K97" s="58"/>
    </row>
    <row r="98" spans="1:11" ht="15" customHeight="1" x14ac:dyDescent="0.25">
      <c r="A98" s="74"/>
      <c r="B98" s="62"/>
      <c r="C98" s="63"/>
      <c r="D98" s="62"/>
      <c r="E98" s="62"/>
      <c r="F98" s="64"/>
      <c r="G98" s="62"/>
      <c r="H98" s="63"/>
      <c r="I98" s="106" t="str">
        <f t="shared" si="2"/>
        <v/>
      </c>
      <c r="J98" s="62"/>
      <c r="K98" s="63"/>
    </row>
    <row r="99" spans="1:11" ht="15" customHeight="1" x14ac:dyDescent="0.25">
      <c r="A99" s="72"/>
      <c r="B99" s="57"/>
      <c r="C99" s="58"/>
      <c r="D99" s="57"/>
      <c r="E99" s="57"/>
      <c r="F99" s="59"/>
      <c r="G99" s="57"/>
      <c r="H99" s="58"/>
      <c r="I99" s="105" t="str">
        <f t="shared" si="2"/>
        <v/>
      </c>
      <c r="J99" s="57"/>
      <c r="K99" s="58"/>
    </row>
    <row r="100" spans="1:11" ht="15" customHeight="1" x14ac:dyDescent="0.25">
      <c r="A100" s="74"/>
      <c r="B100" s="62"/>
      <c r="C100" s="63"/>
      <c r="D100" s="62"/>
      <c r="E100" s="62"/>
      <c r="F100" s="64"/>
      <c r="G100" s="62"/>
      <c r="H100" s="63"/>
      <c r="I100" s="106" t="str">
        <f t="shared" si="2"/>
        <v/>
      </c>
      <c r="J100" s="62"/>
      <c r="K100" s="63"/>
    </row>
    <row r="101" spans="1:11" ht="15" customHeight="1" x14ac:dyDescent="0.25">
      <c r="A101" s="72"/>
      <c r="B101" s="57"/>
      <c r="C101" s="58"/>
      <c r="D101" s="57"/>
      <c r="E101" s="57"/>
      <c r="F101" s="59"/>
      <c r="G101" s="57"/>
      <c r="H101" s="58"/>
      <c r="I101" s="105" t="str">
        <f t="shared" si="2"/>
        <v/>
      </c>
      <c r="J101" s="57"/>
      <c r="K101" s="58"/>
    </row>
    <row r="102" spans="1:11" ht="15" customHeight="1" x14ac:dyDescent="0.25">
      <c r="A102" s="74"/>
      <c r="B102" s="62"/>
      <c r="C102" s="63"/>
      <c r="D102" s="62"/>
      <c r="E102" s="62"/>
      <c r="F102" s="64"/>
      <c r="G102" s="62"/>
      <c r="H102" s="63"/>
      <c r="I102" s="106" t="str">
        <f t="shared" ref="I102:I133" si="3">IF(F102="","",IF(I101="",F102,I101+F102))</f>
        <v/>
      </c>
      <c r="J102" s="62"/>
      <c r="K102" s="63"/>
    </row>
    <row r="103" spans="1:11" ht="15" customHeight="1" x14ac:dyDescent="0.25">
      <c r="A103" s="72"/>
      <c r="B103" s="57"/>
      <c r="C103" s="58"/>
      <c r="D103" s="57"/>
      <c r="E103" s="57"/>
      <c r="F103" s="59"/>
      <c r="G103" s="57"/>
      <c r="H103" s="58"/>
      <c r="I103" s="105" t="str">
        <f t="shared" si="3"/>
        <v/>
      </c>
      <c r="J103" s="57"/>
      <c r="K103" s="58"/>
    </row>
    <row r="104" spans="1:11" ht="15" customHeight="1" x14ac:dyDescent="0.25">
      <c r="A104" s="74"/>
      <c r="B104" s="62"/>
      <c r="C104" s="63"/>
      <c r="D104" s="62"/>
      <c r="E104" s="62"/>
      <c r="F104" s="64"/>
      <c r="G104" s="62"/>
      <c r="H104" s="63"/>
      <c r="I104" s="106" t="str">
        <f t="shared" si="3"/>
        <v/>
      </c>
      <c r="J104" s="62"/>
      <c r="K104" s="63"/>
    </row>
    <row r="105" spans="1:11" ht="15" customHeight="1" x14ac:dyDescent="0.25">
      <c r="A105" s="72"/>
      <c r="B105" s="57"/>
      <c r="C105" s="58"/>
      <c r="D105" s="57"/>
      <c r="E105" s="57"/>
      <c r="F105" s="59"/>
      <c r="G105" s="57"/>
      <c r="H105" s="58"/>
      <c r="I105" s="105" t="str">
        <f t="shared" si="3"/>
        <v/>
      </c>
      <c r="J105" s="57"/>
      <c r="K105" s="58"/>
    </row>
    <row r="106" spans="1:11" ht="15" customHeight="1" x14ac:dyDescent="0.25">
      <c r="A106" s="74"/>
      <c r="B106" s="62"/>
      <c r="C106" s="63"/>
      <c r="D106" s="62"/>
      <c r="E106" s="62"/>
      <c r="F106" s="64"/>
      <c r="G106" s="62"/>
      <c r="H106" s="63"/>
      <c r="I106" s="106" t="str">
        <f t="shared" si="3"/>
        <v/>
      </c>
      <c r="J106" s="62"/>
      <c r="K106" s="63"/>
    </row>
    <row r="107" spans="1:11" ht="15" customHeight="1" x14ac:dyDescent="0.25">
      <c r="A107" s="72"/>
      <c r="B107" s="57"/>
      <c r="C107" s="58"/>
      <c r="D107" s="57"/>
      <c r="E107" s="57"/>
      <c r="F107" s="59"/>
      <c r="G107" s="57"/>
      <c r="H107" s="58"/>
      <c r="I107" s="105" t="str">
        <f t="shared" si="3"/>
        <v/>
      </c>
      <c r="J107" s="57"/>
      <c r="K107" s="58"/>
    </row>
    <row r="108" spans="1:11" ht="15" customHeight="1" x14ac:dyDescent="0.25">
      <c r="A108" s="74"/>
      <c r="B108" s="62"/>
      <c r="C108" s="63"/>
      <c r="D108" s="62"/>
      <c r="E108" s="62"/>
      <c r="F108" s="64"/>
      <c r="G108" s="62"/>
      <c r="H108" s="63"/>
      <c r="I108" s="106" t="str">
        <f t="shared" si="3"/>
        <v/>
      </c>
      <c r="J108" s="62"/>
      <c r="K108" s="63"/>
    </row>
    <row r="109" spans="1:11" ht="15" customHeight="1" x14ac:dyDescent="0.25">
      <c r="A109" s="72"/>
      <c r="B109" s="57"/>
      <c r="C109" s="58"/>
      <c r="D109" s="57"/>
      <c r="E109" s="57"/>
      <c r="F109" s="59"/>
      <c r="G109" s="57"/>
      <c r="H109" s="58"/>
      <c r="I109" s="105" t="str">
        <f t="shared" si="3"/>
        <v/>
      </c>
      <c r="J109" s="57"/>
      <c r="K109" s="58"/>
    </row>
    <row r="110" spans="1:11" ht="15" customHeight="1" x14ac:dyDescent="0.25">
      <c r="A110" s="74"/>
      <c r="B110" s="62"/>
      <c r="C110" s="63"/>
      <c r="D110" s="62"/>
      <c r="E110" s="62"/>
      <c r="F110" s="64"/>
      <c r="G110" s="62"/>
      <c r="H110" s="63"/>
      <c r="I110" s="106" t="str">
        <f t="shared" si="3"/>
        <v/>
      </c>
      <c r="J110" s="62"/>
      <c r="K110" s="63"/>
    </row>
    <row r="111" spans="1:11" ht="15" customHeight="1" x14ac:dyDescent="0.25">
      <c r="A111" s="72"/>
      <c r="B111" s="57"/>
      <c r="C111" s="58"/>
      <c r="D111" s="57"/>
      <c r="E111" s="57"/>
      <c r="F111" s="59"/>
      <c r="G111" s="57"/>
      <c r="H111" s="58"/>
      <c r="I111" s="105" t="str">
        <f t="shared" si="3"/>
        <v/>
      </c>
      <c r="J111" s="57"/>
      <c r="K111" s="58"/>
    </row>
    <row r="112" spans="1:11" ht="15" customHeight="1" x14ac:dyDescent="0.25">
      <c r="A112" s="74"/>
      <c r="B112" s="62"/>
      <c r="C112" s="63"/>
      <c r="D112" s="62"/>
      <c r="E112" s="62"/>
      <c r="F112" s="64"/>
      <c r="G112" s="62"/>
      <c r="H112" s="63"/>
      <c r="I112" s="106" t="str">
        <f t="shared" si="3"/>
        <v/>
      </c>
      <c r="J112" s="62"/>
      <c r="K112" s="63"/>
    </row>
    <row r="113" spans="1:11" ht="15" customHeight="1" x14ac:dyDescent="0.25">
      <c r="A113" s="72"/>
      <c r="B113" s="57"/>
      <c r="C113" s="58"/>
      <c r="D113" s="57"/>
      <c r="E113" s="57"/>
      <c r="F113" s="59"/>
      <c r="G113" s="57"/>
      <c r="H113" s="58"/>
      <c r="I113" s="105" t="str">
        <f t="shared" si="3"/>
        <v/>
      </c>
      <c r="J113" s="57"/>
      <c r="K113" s="58"/>
    </row>
    <row r="114" spans="1:11" ht="15" customHeight="1" x14ac:dyDescent="0.25">
      <c r="A114" s="74"/>
      <c r="B114" s="62"/>
      <c r="C114" s="63"/>
      <c r="D114" s="62"/>
      <c r="E114" s="62"/>
      <c r="F114" s="64"/>
      <c r="G114" s="62"/>
      <c r="H114" s="63"/>
      <c r="I114" s="106" t="str">
        <f t="shared" si="3"/>
        <v/>
      </c>
      <c r="J114" s="62"/>
      <c r="K114" s="63"/>
    </row>
    <row r="115" spans="1:11" ht="15" customHeight="1" x14ac:dyDescent="0.25">
      <c r="A115" s="72"/>
      <c r="B115" s="57"/>
      <c r="C115" s="58"/>
      <c r="D115" s="57"/>
      <c r="E115" s="57"/>
      <c r="F115" s="59"/>
      <c r="G115" s="57"/>
      <c r="H115" s="58"/>
      <c r="I115" s="105" t="str">
        <f t="shared" si="3"/>
        <v/>
      </c>
      <c r="J115" s="57"/>
      <c r="K115" s="58"/>
    </row>
    <row r="116" spans="1:11" ht="15" customHeight="1" x14ac:dyDescent="0.25">
      <c r="A116" s="74"/>
      <c r="B116" s="62"/>
      <c r="C116" s="63"/>
      <c r="D116" s="62"/>
      <c r="E116" s="62"/>
      <c r="F116" s="64"/>
      <c r="G116" s="62"/>
      <c r="H116" s="63"/>
      <c r="I116" s="106" t="str">
        <f t="shared" si="3"/>
        <v/>
      </c>
      <c r="J116" s="62"/>
      <c r="K116" s="63"/>
    </row>
    <row r="117" spans="1:11" ht="15" customHeight="1" x14ac:dyDescent="0.25">
      <c r="A117" s="72"/>
      <c r="B117" s="57"/>
      <c r="C117" s="58"/>
      <c r="D117" s="57"/>
      <c r="E117" s="57"/>
      <c r="F117" s="59"/>
      <c r="G117" s="57"/>
      <c r="H117" s="58"/>
      <c r="I117" s="105" t="str">
        <f t="shared" si="3"/>
        <v/>
      </c>
      <c r="J117" s="57"/>
      <c r="K117" s="58"/>
    </row>
    <row r="118" spans="1:11" ht="15" customHeight="1" x14ac:dyDescent="0.25">
      <c r="A118" s="74"/>
      <c r="B118" s="62"/>
      <c r="C118" s="63"/>
      <c r="D118" s="62"/>
      <c r="E118" s="62"/>
      <c r="F118" s="64"/>
      <c r="G118" s="62"/>
      <c r="H118" s="63"/>
      <c r="I118" s="106" t="str">
        <f t="shared" si="3"/>
        <v/>
      </c>
      <c r="J118" s="62"/>
      <c r="K118" s="63"/>
    </row>
    <row r="119" spans="1:11" ht="15" customHeight="1" x14ac:dyDescent="0.25">
      <c r="A119" s="72"/>
      <c r="B119" s="57"/>
      <c r="C119" s="58"/>
      <c r="D119" s="57"/>
      <c r="E119" s="57"/>
      <c r="F119" s="59"/>
      <c r="G119" s="57"/>
      <c r="H119" s="58"/>
      <c r="I119" s="105" t="str">
        <f t="shared" si="3"/>
        <v/>
      </c>
      <c r="J119" s="57"/>
      <c r="K119" s="58"/>
    </row>
    <row r="120" spans="1:11" ht="15" customHeight="1" x14ac:dyDescent="0.25">
      <c r="A120" s="74"/>
      <c r="B120" s="62"/>
      <c r="C120" s="63"/>
      <c r="D120" s="62"/>
      <c r="E120" s="62"/>
      <c r="F120" s="64"/>
      <c r="G120" s="62"/>
      <c r="H120" s="63"/>
      <c r="I120" s="106" t="str">
        <f t="shared" si="3"/>
        <v/>
      </c>
      <c r="J120" s="62"/>
      <c r="K120" s="63"/>
    </row>
    <row r="121" spans="1:11" ht="15" customHeight="1" x14ac:dyDescent="0.25">
      <c r="A121" s="72"/>
      <c r="B121" s="57"/>
      <c r="C121" s="58"/>
      <c r="D121" s="57"/>
      <c r="E121" s="57"/>
      <c r="F121" s="59"/>
      <c r="G121" s="57"/>
      <c r="H121" s="58"/>
      <c r="I121" s="105" t="str">
        <f t="shared" si="3"/>
        <v/>
      </c>
      <c r="J121" s="57"/>
      <c r="K121" s="58"/>
    </row>
    <row r="122" spans="1:11" ht="15" customHeight="1" x14ac:dyDescent="0.25">
      <c r="A122" s="74"/>
      <c r="B122" s="62"/>
      <c r="C122" s="63"/>
      <c r="D122" s="62"/>
      <c r="E122" s="62"/>
      <c r="F122" s="64"/>
      <c r="G122" s="62"/>
      <c r="H122" s="63"/>
      <c r="I122" s="106" t="str">
        <f t="shared" si="3"/>
        <v/>
      </c>
      <c r="J122" s="62"/>
      <c r="K122" s="63"/>
    </row>
    <row r="123" spans="1:11" ht="15" customHeight="1" x14ac:dyDescent="0.25">
      <c r="A123" s="72"/>
      <c r="B123" s="57"/>
      <c r="C123" s="58"/>
      <c r="D123" s="57"/>
      <c r="E123" s="57"/>
      <c r="F123" s="59"/>
      <c r="G123" s="57"/>
      <c r="H123" s="58"/>
      <c r="I123" s="105" t="str">
        <f t="shared" si="3"/>
        <v/>
      </c>
      <c r="J123" s="57"/>
      <c r="K123" s="58"/>
    </row>
    <row r="124" spans="1:11" ht="15" customHeight="1" x14ac:dyDescent="0.25">
      <c r="A124" s="74"/>
      <c r="B124" s="62"/>
      <c r="C124" s="63"/>
      <c r="D124" s="62"/>
      <c r="E124" s="62"/>
      <c r="F124" s="64"/>
      <c r="G124" s="62"/>
      <c r="H124" s="63"/>
      <c r="I124" s="106" t="str">
        <f t="shared" si="3"/>
        <v/>
      </c>
      <c r="J124" s="62"/>
      <c r="K124" s="63"/>
    </row>
    <row r="125" spans="1:11" ht="15" customHeight="1" x14ac:dyDescent="0.25">
      <c r="A125" s="72"/>
      <c r="B125" s="57"/>
      <c r="C125" s="58"/>
      <c r="D125" s="57"/>
      <c r="E125" s="57"/>
      <c r="F125" s="59"/>
      <c r="G125" s="57"/>
      <c r="H125" s="58"/>
      <c r="I125" s="105" t="str">
        <f t="shared" si="3"/>
        <v/>
      </c>
      <c r="J125" s="57"/>
      <c r="K125" s="58"/>
    </row>
    <row r="126" spans="1:11" ht="15" customHeight="1" x14ac:dyDescent="0.25">
      <c r="A126" s="74"/>
      <c r="B126" s="62"/>
      <c r="C126" s="63"/>
      <c r="D126" s="62"/>
      <c r="E126" s="62"/>
      <c r="F126" s="64"/>
      <c r="G126" s="62"/>
      <c r="H126" s="63"/>
      <c r="I126" s="106" t="str">
        <f t="shared" si="3"/>
        <v/>
      </c>
      <c r="J126" s="62"/>
      <c r="K126" s="63"/>
    </row>
    <row r="127" spans="1:11" ht="15" customHeight="1" x14ac:dyDescent="0.25">
      <c r="A127" s="72"/>
      <c r="B127" s="57"/>
      <c r="C127" s="58"/>
      <c r="D127" s="57"/>
      <c r="E127" s="57"/>
      <c r="F127" s="59"/>
      <c r="G127" s="57"/>
      <c r="H127" s="58"/>
      <c r="I127" s="105" t="str">
        <f t="shared" si="3"/>
        <v/>
      </c>
      <c r="J127" s="57"/>
      <c r="K127" s="58"/>
    </row>
    <row r="128" spans="1:11" ht="15" customHeight="1" x14ac:dyDescent="0.25">
      <c r="A128" s="74"/>
      <c r="B128" s="62"/>
      <c r="C128" s="63"/>
      <c r="D128" s="62"/>
      <c r="E128" s="62"/>
      <c r="F128" s="64"/>
      <c r="G128" s="62"/>
      <c r="H128" s="63"/>
      <c r="I128" s="106" t="str">
        <f t="shared" si="3"/>
        <v/>
      </c>
      <c r="J128" s="62"/>
      <c r="K128" s="63"/>
    </row>
    <row r="129" spans="1:11" ht="15" customHeight="1" x14ac:dyDescent="0.25">
      <c r="A129" s="72"/>
      <c r="B129" s="57"/>
      <c r="C129" s="58"/>
      <c r="D129" s="57"/>
      <c r="E129" s="57"/>
      <c r="F129" s="59"/>
      <c r="G129" s="57"/>
      <c r="H129" s="58"/>
      <c r="I129" s="105" t="str">
        <f t="shared" si="3"/>
        <v/>
      </c>
      <c r="J129" s="57"/>
      <c r="K129" s="58"/>
    </row>
    <row r="130" spans="1:11" ht="15" customHeight="1" x14ac:dyDescent="0.25">
      <c r="A130" s="74"/>
      <c r="B130" s="62"/>
      <c r="C130" s="63"/>
      <c r="D130" s="62"/>
      <c r="E130" s="62"/>
      <c r="F130" s="64"/>
      <c r="G130" s="62"/>
      <c r="H130" s="63"/>
      <c r="I130" s="106" t="str">
        <f t="shared" si="3"/>
        <v/>
      </c>
      <c r="J130" s="62"/>
      <c r="K130" s="63"/>
    </row>
    <row r="131" spans="1:11" ht="15" customHeight="1" x14ac:dyDescent="0.25">
      <c r="A131" s="72"/>
      <c r="B131" s="57"/>
      <c r="C131" s="58"/>
      <c r="D131" s="57"/>
      <c r="E131" s="57"/>
      <c r="F131" s="59"/>
      <c r="G131" s="57"/>
      <c r="H131" s="58"/>
      <c r="I131" s="105" t="str">
        <f t="shared" si="3"/>
        <v/>
      </c>
      <c r="J131" s="57"/>
      <c r="K131" s="58"/>
    </row>
    <row r="132" spans="1:11" ht="15" customHeight="1" x14ac:dyDescent="0.25">
      <c r="A132" s="74"/>
      <c r="B132" s="62"/>
      <c r="C132" s="63"/>
      <c r="D132" s="62"/>
      <c r="E132" s="62"/>
      <c r="F132" s="64"/>
      <c r="G132" s="62"/>
      <c r="H132" s="63"/>
      <c r="I132" s="106" t="str">
        <f t="shared" si="3"/>
        <v/>
      </c>
      <c r="J132" s="62"/>
      <c r="K132" s="63"/>
    </row>
    <row r="133" spans="1:11" ht="15" customHeight="1" x14ac:dyDescent="0.25">
      <c r="A133" s="72"/>
      <c r="B133" s="57"/>
      <c r="C133" s="58"/>
      <c r="D133" s="57"/>
      <c r="E133" s="57"/>
      <c r="F133" s="59"/>
      <c r="G133" s="57"/>
      <c r="H133" s="58"/>
      <c r="I133" s="105" t="str">
        <f t="shared" si="3"/>
        <v/>
      </c>
      <c r="J133" s="57"/>
      <c r="K133" s="58"/>
    </row>
    <row r="134" spans="1:11" ht="15" customHeight="1" x14ac:dyDescent="0.25">
      <c r="A134" s="74"/>
      <c r="B134" s="62"/>
      <c r="C134" s="63"/>
      <c r="D134" s="62"/>
      <c r="E134" s="62"/>
      <c r="F134" s="64"/>
      <c r="G134" s="62"/>
      <c r="H134" s="63"/>
      <c r="I134" s="106" t="str">
        <f t="shared" ref="I134:I154" si="4">IF(F134="","",IF(I133="",F134,I133+F134))</f>
        <v/>
      </c>
      <c r="J134" s="62"/>
      <c r="K134" s="63"/>
    </row>
    <row r="135" spans="1:11" ht="15" customHeight="1" x14ac:dyDescent="0.25">
      <c r="A135" s="72"/>
      <c r="B135" s="57"/>
      <c r="C135" s="58"/>
      <c r="D135" s="57"/>
      <c r="E135" s="57"/>
      <c r="F135" s="59"/>
      <c r="G135" s="57"/>
      <c r="H135" s="58"/>
      <c r="I135" s="105" t="str">
        <f t="shared" si="4"/>
        <v/>
      </c>
      <c r="J135" s="57"/>
      <c r="K135" s="58"/>
    </row>
    <row r="136" spans="1:11" ht="15" customHeight="1" x14ac:dyDescent="0.25">
      <c r="A136" s="74"/>
      <c r="B136" s="62"/>
      <c r="C136" s="63"/>
      <c r="D136" s="62"/>
      <c r="E136" s="62"/>
      <c r="F136" s="64"/>
      <c r="G136" s="62"/>
      <c r="H136" s="63"/>
      <c r="I136" s="106" t="str">
        <f t="shared" si="4"/>
        <v/>
      </c>
      <c r="J136" s="62"/>
      <c r="K136" s="63"/>
    </row>
    <row r="137" spans="1:11" ht="15" customHeight="1" x14ac:dyDescent="0.25">
      <c r="A137" s="72"/>
      <c r="B137" s="57"/>
      <c r="C137" s="58"/>
      <c r="D137" s="57"/>
      <c r="E137" s="57"/>
      <c r="F137" s="59"/>
      <c r="G137" s="57"/>
      <c r="H137" s="58"/>
      <c r="I137" s="105" t="str">
        <f t="shared" si="4"/>
        <v/>
      </c>
      <c r="J137" s="57"/>
      <c r="K137" s="58"/>
    </row>
    <row r="138" spans="1:11" ht="15" customHeight="1" x14ac:dyDescent="0.25">
      <c r="A138" s="74"/>
      <c r="B138" s="62"/>
      <c r="C138" s="63"/>
      <c r="D138" s="62"/>
      <c r="E138" s="62"/>
      <c r="F138" s="64"/>
      <c r="G138" s="62"/>
      <c r="H138" s="63"/>
      <c r="I138" s="106" t="str">
        <f t="shared" si="4"/>
        <v/>
      </c>
      <c r="J138" s="62"/>
      <c r="K138" s="63"/>
    </row>
    <row r="139" spans="1:11" ht="15" customHeight="1" x14ac:dyDescent="0.25">
      <c r="A139" s="72"/>
      <c r="B139" s="57"/>
      <c r="C139" s="58"/>
      <c r="D139" s="57"/>
      <c r="E139" s="57"/>
      <c r="F139" s="59"/>
      <c r="G139" s="57"/>
      <c r="H139" s="58"/>
      <c r="I139" s="105" t="str">
        <f t="shared" si="4"/>
        <v/>
      </c>
      <c r="J139" s="57"/>
      <c r="K139" s="58"/>
    </row>
    <row r="140" spans="1:11" ht="15" customHeight="1" x14ac:dyDescent="0.25">
      <c r="A140" s="74"/>
      <c r="B140" s="62"/>
      <c r="C140" s="63"/>
      <c r="D140" s="62"/>
      <c r="E140" s="62"/>
      <c r="F140" s="64"/>
      <c r="G140" s="62"/>
      <c r="H140" s="63"/>
      <c r="I140" s="106" t="str">
        <f t="shared" si="4"/>
        <v/>
      </c>
      <c r="J140" s="62"/>
      <c r="K140" s="63"/>
    </row>
    <row r="141" spans="1:11" ht="15" customHeight="1" x14ac:dyDescent="0.25">
      <c r="A141" s="72"/>
      <c r="B141" s="57"/>
      <c r="C141" s="58"/>
      <c r="D141" s="57"/>
      <c r="E141" s="57"/>
      <c r="F141" s="59"/>
      <c r="G141" s="57"/>
      <c r="H141" s="58"/>
      <c r="I141" s="105" t="str">
        <f t="shared" si="4"/>
        <v/>
      </c>
      <c r="J141" s="57"/>
      <c r="K141" s="58"/>
    </row>
    <row r="142" spans="1:11" ht="15" customHeight="1" x14ac:dyDescent="0.25">
      <c r="A142" s="74"/>
      <c r="B142" s="62"/>
      <c r="C142" s="63"/>
      <c r="D142" s="62"/>
      <c r="E142" s="62"/>
      <c r="F142" s="64"/>
      <c r="G142" s="62"/>
      <c r="H142" s="63"/>
      <c r="I142" s="106" t="str">
        <f t="shared" si="4"/>
        <v/>
      </c>
      <c r="J142" s="62"/>
      <c r="K142" s="63"/>
    </row>
    <row r="143" spans="1:11" ht="15" customHeight="1" x14ac:dyDescent="0.25">
      <c r="A143" s="72"/>
      <c r="B143" s="57"/>
      <c r="C143" s="58"/>
      <c r="D143" s="57"/>
      <c r="E143" s="57"/>
      <c r="F143" s="59"/>
      <c r="G143" s="57"/>
      <c r="H143" s="58"/>
      <c r="I143" s="105" t="str">
        <f t="shared" si="4"/>
        <v/>
      </c>
      <c r="J143" s="57"/>
      <c r="K143" s="58"/>
    </row>
    <row r="144" spans="1:11" ht="15" customHeight="1" x14ac:dyDescent="0.25">
      <c r="A144" s="74"/>
      <c r="B144" s="62"/>
      <c r="C144" s="63"/>
      <c r="D144" s="62"/>
      <c r="E144" s="62"/>
      <c r="F144" s="64"/>
      <c r="G144" s="62"/>
      <c r="H144" s="63"/>
      <c r="I144" s="106" t="str">
        <f t="shared" si="4"/>
        <v/>
      </c>
      <c r="J144" s="62"/>
      <c r="K144" s="63"/>
    </row>
    <row r="145" spans="1:11" ht="15" customHeight="1" x14ac:dyDescent="0.25">
      <c r="A145" s="72"/>
      <c r="B145" s="57"/>
      <c r="C145" s="58"/>
      <c r="D145" s="57"/>
      <c r="E145" s="57"/>
      <c r="F145" s="59"/>
      <c r="G145" s="57"/>
      <c r="H145" s="58"/>
      <c r="I145" s="105" t="str">
        <f t="shared" si="4"/>
        <v/>
      </c>
      <c r="J145" s="57"/>
      <c r="K145" s="58"/>
    </row>
    <row r="146" spans="1:11" ht="15" customHeight="1" x14ac:dyDescent="0.25">
      <c r="A146" s="74"/>
      <c r="B146" s="62"/>
      <c r="C146" s="63"/>
      <c r="D146" s="62"/>
      <c r="E146" s="62"/>
      <c r="F146" s="64"/>
      <c r="G146" s="62"/>
      <c r="H146" s="63"/>
      <c r="I146" s="106" t="str">
        <f t="shared" si="4"/>
        <v/>
      </c>
      <c r="J146" s="62"/>
      <c r="K146" s="63"/>
    </row>
    <row r="147" spans="1:11" ht="15" customHeight="1" x14ac:dyDescent="0.25">
      <c r="A147" s="72"/>
      <c r="B147" s="57"/>
      <c r="C147" s="58"/>
      <c r="D147" s="57"/>
      <c r="E147" s="57"/>
      <c r="F147" s="59"/>
      <c r="G147" s="57"/>
      <c r="H147" s="58"/>
      <c r="I147" s="105" t="str">
        <f t="shared" si="4"/>
        <v/>
      </c>
      <c r="J147" s="57"/>
      <c r="K147" s="58"/>
    </row>
    <row r="148" spans="1:11" ht="15" customHeight="1" x14ac:dyDescent="0.25">
      <c r="A148" s="74"/>
      <c r="B148" s="62"/>
      <c r="C148" s="63"/>
      <c r="D148" s="62"/>
      <c r="E148" s="62"/>
      <c r="F148" s="64"/>
      <c r="G148" s="62"/>
      <c r="H148" s="63"/>
      <c r="I148" s="106" t="str">
        <f t="shared" si="4"/>
        <v/>
      </c>
      <c r="J148" s="62"/>
      <c r="K148" s="63"/>
    </row>
    <row r="149" spans="1:11" ht="15" customHeight="1" x14ac:dyDescent="0.25">
      <c r="A149" s="72"/>
      <c r="B149" s="57"/>
      <c r="C149" s="58"/>
      <c r="D149" s="57"/>
      <c r="E149" s="57"/>
      <c r="F149" s="59"/>
      <c r="G149" s="57"/>
      <c r="H149" s="58"/>
      <c r="I149" s="105" t="str">
        <f t="shared" si="4"/>
        <v/>
      </c>
      <c r="J149" s="57"/>
      <c r="K149" s="58"/>
    </row>
    <row r="150" spans="1:11" ht="15" customHeight="1" x14ac:dyDescent="0.25">
      <c r="A150" s="74"/>
      <c r="B150" s="62"/>
      <c r="C150" s="63"/>
      <c r="D150" s="62"/>
      <c r="E150" s="62"/>
      <c r="F150" s="64"/>
      <c r="G150" s="62"/>
      <c r="H150" s="63"/>
      <c r="I150" s="106" t="str">
        <f t="shared" si="4"/>
        <v/>
      </c>
      <c r="J150" s="62"/>
      <c r="K150" s="63"/>
    </row>
    <row r="151" spans="1:11" ht="15" customHeight="1" x14ac:dyDescent="0.25">
      <c r="A151" s="72"/>
      <c r="B151" s="57"/>
      <c r="C151" s="58"/>
      <c r="D151" s="57"/>
      <c r="E151" s="57"/>
      <c r="F151" s="59"/>
      <c r="G151" s="57"/>
      <c r="H151" s="58"/>
      <c r="I151" s="105" t="str">
        <f t="shared" si="4"/>
        <v/>
      </c>
      <c r="J151" s="57"/>
      <c r="K151" s="58"/>
    </row>
    <row r="152" spans="1:11" ht="15" customHeight="1" x14ac:dyDescent="0.25">
      <c r="A152" s="74"/>
      <c r="B152" s="62"/>
      <c r="C152" s="63"/>
      <c r="D152" s="62"/>
      <c r="E152" s="62"/>
      <c r="F152" s="64"/>
      <c r="G152" s="62"/>
      <c r="H152" s="63"/>
      <c r="I152" s="106" t="str">
        <f t="shared" si="4"/>
        <v/>
      </c>
      <c r="J152" s="62"/>
      <c r="K152" s="63"/>
    </row>
    <row r="153" spans="1:11" ht="15" customHeight="1" x14ac:dyDescent="0.25">
      <c r="A153" s="72"/>
      <c r="B153" s="57"/>
      <c r="C153" s="58"/>
      <c r="D153" s="57"/>
      <c r="E153" s="57"/>
      <c r="F153" s="59"/>
      <c r="G153" s="57"/>
      <c r="H153" s="58"/>
      <c r="I153" s="105" t="str">
        <f t="shared" si="4"/>
        <v/>
      </c>
      <c r="J153" s="57"/>
      <c r="K153" s="58"/>
    </row>
    <row r="154" spans="1:11" ht="15" customHeight="1" x14ac:dyDescent="0.25">
      <c r="A154" s="74"/>
      <c r="B154" s="62"/>
      <c r="C154" s="63"/>
      <c r="D154" s="62"/>
      <c r="E154" s="62"/>
      <c r="F154" s="64"/>
      <c r="G154" s="62"/>
      <c r="H154" s="63"/>
      <c r="I154" s="106" t="str">
        <f t="shared" si="4"/>
        <v/>
      </c>
      <c r="J154" s="62"/>
      <c r="K154" s="63"/>
    </row>
    <row r="157" spans="1:11" ht="25.5" customHeight="1" x14ac:dyDescent="0.25">
      <c r="A157" s="142" t="s">
        <v>186</v>
      </c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</row>
    <row r="158" spans="1:11" ht="23.25" customHeight="1" x14ac:dyDescent="0.25">
      <c r="A158" s="16" t="s">
        <v>180</v>
      </c>
      <c r="B158" s="16" t="s">
        <v>187</v>
      </c>
      <c r="C158" s="16" t="s">
        <v>188</v>
      </c>
      <c r="D158" s="16" t="s">
        <v>189</v>
      </c>
      <c r="E158" s="16" t="s">
        <v>190</v>
      </c>
      <c r="F158" s="16" t="s">
        <v>191</v>
      </c>
      <c r="G158" s="16" t="s">
        <v>192</v>
      </c>
      <c r="H158" s="16" t="s">
        <v>193</v>
      </c>
      <c r="I158" s="16" t="s">
        <v>194</v>
      </c>
      <c r="J158" s="16" t="s">
        <v>195</v>
      </c>
      <c r="K158" s="16" t="s">
        <v>36</v>
      </c>
    </row>
    <row r="159" spans="1:11" ht="15" customHeight="1" x14ac:dyDescent="0.25">
      <c r="A159" s="76" t="s">
        <v>196</v>
      </c>
      <c r="B159" s="72">
        <v>46133</v>
      </c>
      <c r="C159" s="77">
        <f>COUNTIF(E5:E154,"Wk 1 (21 Apr)")</f>
        <v>0</v>
      </c>
      <c r="D159" s="78">
        <f>SUMPRODUCT((E5:E154="Wk 1 (21 Apr)")*(G5:G154="Cash")*(F5:F154))</f>
        <v>0</v>
      </c>
      <c r="E159" s="78">
        <f>SUMPRODUCT((E5:E154="Wk 1 (21 Apr)")*((G5:G154="MTN MoMo")+(G5:G154="Vodafone Cash")+(G5:G154="AirtelTigo Money"))*(F5:F154))</f>
        <v>0</v>
      </c>
      <c r="F159" s="78">
        <f>SUMPRODUCT((E5:E154="Wk 1 (21 Apr)")*(G5:G154="Bank Transfer")*(F5:F154))</f>
        <v>0</v>
      </c>
      <c r="G159" s="78">
        <f>SUMPRODUCT((E5:E154="Wk 1 (21 Apr)")*(G5:G154="Cheque")*(F5:F154))</f>
        <v>0</v>
      </c>
      <c r="H159" s="79">
        <f t="shared" ref="H159:H172" si="5">SUM(D159:G159)</f>
        <v>0</v>
      </c>
      <c r="I159" s="60">
        <f>H159</f>
        <v>0</v>
      </c>
      <c r="J159" s="77"/>
      <c r="K159" s="80"/>
    </row>
    <row r="160" spans="1:11" ht="15" customHeight="1" x14ac:dyDescent="0.25">
      <c r="A160" s="81" t="s">
        <v>197</v>
      </c>
      <c r="B160" s="74">
        <v>46140</v>
      </c>
      <c r="C160" s="82">
        <f>COUNTIF(E5:E154,"Wk 2 (28 Apr)")</f>
        <v>3</v>
      </c>
      <c r="D160" s="83">
        <f>SUMPRODUCT((E5:E154="Wk 2 (28 Apr)")*(G5:G154="Cash")*(F5:F154))</f>
        <v>2000</v>
      </c>
      <c r="E160" s="83">
        <f>SUMPRODUCT((E5:E154="Wk 2 (28 Apr)")*((G5:G154="MTN MoMo")+(G5:G154="Vodafone Cash")+(G5:G154="AirtelTigo Money"))*(F5:F154))</f>
        <v>1000</v>
      </c>
      <c r="F160" s="83">
        <f>SUMPRODUCT((E5:E154="Wk 2 (28 Apr)")*(G5:G154="Bank Transfer")*(F5:F154))</f>
        <v>3200</v>
      </c>
      <c r="G160" s="83">
        <f>SUMPRODUCT((E5:E154="Wk 2 (28 Apr)")*(G5:G154="Cheque")*(F5:F154))</f>
        <v>0</v>
      </c>
      <c r="H160" s="84">
        <f t="shared" si="5"/>
        <v>6200</v>
      </c>
      <c r="I160" s="65">
        <f t="shared" ref="I160:I172" si="6">I159+H160</f>
        <v>6200</v>
      </c>
      <c r="J160" s="82"/>
      <c r="K160" s="85"/>
    </row>
    <row r="161" spans="1:11" ht="15" customHeight="1" x14ac:dyDescent="0.25">
      <c r="A161" s="76" t="s">
        <v>198</v>
      </c>
      <c r="B161" s="72">
        <v>46147</v>
      </c>
      <c r="C161" s="77">
        <f>COUNTIF(E5:E154,"Wk 3 (05 May)")</f>
        <v>4</v>
      </c>
      <c r="D161" s="78">
        <f>SUMPRODUCT((E5:E154="Wk 3 (05 May)")*(G5:G154="Cash")*(F5:F154))</f>
        <v>4577.5</v>
      </c>
      <c r="E161" s="78">
        <f>SUMPRODUCT((E5:E154="Wk 3 (05 May)")*((G5:G154="MTN MoMo")+(G5:G154="Vodafone Cash")+(G5:G154="AirtelTigo Money"))*(F5:F154))</f>
        <v>3949.5</v>
      </c>
      <c r="F161" s="78">
        <f>SUMPRODUCT((E5:E154="Wk 3 (05 May)")*(G5:G154="Bank Transfer")*(F5:F154))</f>
        <v>0</v>
      </c>
      <c r="G161" s="78">
        <f>SUMPRODUCT((E5:E154="Wk 3 (05 May)")*(G5:G154="Cheque")*(F5:F154))</f>
        <v>0</v>
      </c>
      <c r="H161" s="79">
        <f t="shared" si="5"/>
        <v>8527</v>
      </c>
      <c r="I161" s="60">
        <f t="shared" si="6"/>
        <v>14727</v>
      </c>
      <c r="J161" s="77"/>
      <c r="K161" s="80"/>
    </row>
    <row r="162" spans="1:11" ht="15" customHeight="1" x14ac:dyDescent="0.25">
      <c r="A162" s="81" t="s">
        <v>199</v>
      </c>
      <c r="B162" s="74">
        <v>46154</v>
      </c>
      <c r="C162" s="82">
        <f>COUNTIF(E5:E154,"Wk 4 (12 May)")</f>
        <v>1</v>
      </c>
      <c r="D162" s="83">
        <f>SUMPRODUCT((E5:E154="Wk 4 (12 May)")*(G5:G154="Cash")*(F5:F154))</f>
        <v>0</v>
      </c>
      <c r="E162" s="83">
        <f>SUMPRODUCT((E5:E154="Wk 4 (12 May)")*((G5:G154="MTN MoMo")+(G5:G154="Vodafone Cash")+(G5:G154="AirtelTigo Money"))*(F5:F154))</f>
        <v>900</v>
      </c>
      <c r="F162" s="83">
        <f>SUMPRODUCT((E5:E154="Wk 4 (12 May)")*(G5:G154="Bank Transfer")*(F5:F154))</f>
        <v>0</v>
      </c>
      <c r="G162" s="83">
        <f>SUMPRODUCT((E5:E154="Wk 4 (12 May)")*(G5:G154="Cheque")*(F5:F154))</f>
        <v>0</v>
      </c>
      <c r="H162" s="84">
        <f t="shared" si="5"/>
        <v>900</v>
      </c>
      <c r="I162" s="65">
        <f t="shared" si="6"/>
        <v>15627</v>
      </c>
      <c r="J162" s="82"/>
      <c r="K162" s="85"/>
    </row>
    <row r="163" spans="1:11" ht="15" customHeight="1" x14ac:dyDescent="0.25">
      <c r="A163" s="76" t="s">
        <v>200</v>
      </c>
      <c r="B163" s="72">
        <v>46161</v>
      </c>
      <c r="C163" s="77">
        <f>COUNTIF(E5:E154,"Wk 5 (19 May)")</f>
        <v>0</v>
      </c>
      <c r="D163" s="78">
        <f>SUMPRODUCT((E5:E154="Wk 5 (19 May)")*(G5:G154="Cash")*(F5:F154))</f>
        <v>0</v>
      </c>
      <c r="E163" s="78">
        <f>SUMPRODUCT((E5:E154="Wk 5 (19 May)")*((G5:G154="MTN MoMo")+(G5:G154="Vodafone Cash")+(G5:G154="AirtelTigo Money"))*(F5:F154))</f>
        <v>0</v>
      </c>
      <c r="F163" s="78">
        <f>SUMPRODUCT((E5:E154="Wk 5 (19 May)")*(G5:G154="Bank Transfer")*(F5:F154))</f>
        <v>0</v>
      </c>
      <c r="G163" s="78">
        <f>SUMPRODUCT((E5:E154="Wk 5 (19 May)")*(G5:G154="Cheque")*(F5:F154))</f>
        <v>0</v>
      </c>
      <c r="H163" s="79">
        <f t="shared" si="5"/>
        <v>0</v>
      </c>
      <c r="I163" s="60">
        <f t="shared" si="6"/>
        <v>15627</v>
      </c>
      <c r="J163" s="77"/>
      <c r="K163" s="80"/>
    </row>
    <row r="164" spans="1:11" ht="15" customHeight="1" x14ac:dyDescent="0.25">
      <c r="A164" s="81" t="s">
        <v>201</v>
      </c>
      <c r="B164" s="74">
        <v>46168</v>
      </c>
      <c r="C164" s="82">
        <f>COUNTIF(E5:E154,"Wk 6 (26 May)")</f>
        <v>3</v>
      </c>
      <c r="D164" s="83">
        <f>SUMPRODUCT((E5:E154="Wk 6 (26 May)")*(G5:G154="Cash")*(F5:F154))</f>
        <v>0</v>
      </c>
      <c r="E164" s="83">
        <f>SUMPRODUCT((E5:E154="Wk 6 (26 May)")*((G5:G154="MTN MoMo")+(G5:G154="Vodafone Cash")+(G5:G154="AirtelTigo Money"))*(F5:F154))</f>
        <v>2669.5</v>
      </c>
      <c r="F164" s="83">
        <f>SUMPRODUCT((E5:E154="Wk 6 (26 May)")*(G5:G154="Bank Transfer")*(F5:F154))</f>
        <v>3200</v>
      </c>
      <c r="G164" s="83">
        <f>SUMPRODUCT((E5:E154="Wk 6 (26 May)")*(G5:G154="Cheque")*(F5:F154))</f>
        <v>0</v>
      </c>
      <c r="H164" s="84">
        <f t="shared" si="5"/>
        <v>5869.5</v>
      </c>
      <c r="I164" s="65">
        <f t="shared" si="6"/>
        <v>21496.5</v>
      </c>
      <c r="J164" s="82"/>
      <c r="K164" s="85"/>
    </row>
    <row r="165" spans="1:11" ht="15" customHeight="1" x14ac:dyDescent="0.25">
      <c r="A165" s="76" t="s">
        <v>202</v>
      </c>
      <c r="B165" s="72">
        <v>46175</v>
      </c>
      <c r="C165" s="77">
        <f>COUNTIF(E5:E154,"Wk 7 (02 Jun)")</f>
        <v>1</v>
      </c>
      <c r="D165" s="78">
        <f>SUMPRODUCT((E5:E154="Wk 7 (02 Jun)")*(G5:G154="Cash")*(F5:F154))</f>
        <v>0</v>
      </c>
      <c r="E165" s="78">
        <f>SUMPRODUCT((E5:E154="Wk 7 (02 Jun)")*((G5:G154="MTN MoMo")+(G5:G154="Vodafone Cash")+(G5:G154="AirtelTigo Money"))*(F5:F154))</f>
        <v>1050</v>
      </c>
      <c r="F165" s="78">
        <f>SUMPRODUCT((E5:E154="Wk 7 (02 Jun)")*(G5:G154="Bank Transfer")*(F5:F154))</f>
        <v>0</v>
      </c>
      <c r="G165" s="78">
        <f>SUMPRODUCT((E5:E154="Wk 7 (02 Jun)")*(G5:G154="Cheque")*(F5:F154))</f>
        <v>0</v>
      </c>
      <c r="H165" s="79">
        <f t="shared" si="5"/>
        <v>1050</v>
      </c>
      <c r="I165" s="60">
        <f t="shared" si="6"/>
        <v>22546.5</v>
      </c>
      <c r="J165" s="77"/>
      <c r="K165" s="80"/>
    </row>
    <row r="166" spans="1:11" ht="15" customHeight="1" x14ac:dyDescent="0.25">
      <c r="A166" s="81" t="s">
        <v>203</v>
      </c>
      <c r="B166" s="74">
        <v>46182</v>
      </c>
      <c r="C166" s="82">
        <f>COUNTIF(E5:E154,"Wk 8 (09 Jun)")</f>
        <v>1</v>
      </c>
      <c r="D166" s="83">
        <f>SUMPRODUCT((E5:E154="Wk 8 (09 Jun)")*(G5:G154="Cash")*(F5:F154))</f>
        <v>0</v>
      </c>
      <c r="E166" s="83">
        <f>SUMPRODUCT((E5:E154="Wk 8 (09 Jun)")*((G5:G154="MTN MoMo")+(G5:G154="Vodafone Cash")+(G5:G154="AirtelTigo Money"))*(F5:F154))</f>
        <v>900</v>
      </c>
      <c r="F166" s="83">
        <f>SUMPRODUCT((E5:E154="Wk 8 (09 Jun)")*(G5:G154="Bank Transfer")*(F5:F154))</f>
        <v>0</v>
      </c>
      <c r="G166" s="83">
        <f>SUMPRODUCT((E5:E154="Wk 8 (09 Jun)")*(G5:G154="Cheque")*(F5:F154))</f>
        <v>0</v>
      </c>
      <c r="H166" s="84">
        <f t="shared" si="5"/>
        <v>900</v>
      </c>
      <c r="I166" s="65">
        <f t="shared" si="6"/>
        <v>23446.5</v>
      </c>
      <c r="J166" s="82"/>
      <c r="K166" s="85"/>
    </row>
    <row r="167" spans="1:11" ht="15" customHeight="1" x14ac:dyDescent="0.25">
      <c r="A167" s="76" t="s">
        <v>204</v>
      </c>
      <c r="B167" s="72">
        <v>46189</v>
      </c>
      <c r="C167" s="77">
        <f>COUNTIF(E5:E154,"Wk 9 (16 Jun)")</f>
        <v>0</v>
      </c>
      <c r="D167" s="78">
        <f>SUMPRODUCT((E5:E154="Wk 9 (16 Jun)")*(G5:G154="Cash")*(F5:F154))</f>
        <v>0</v>
      </c>
      <c r="E167" s="78">
        <f>SUMPRODUCT((E5:E154="Wk 9 (16 Jun)")*((G5:G154="MTN MoMo")+(G5:G154="Vodafone Cash")+(G5:G154="AirtelTigo Money"))*(F5:F154))</f>
        <v>0</v>
      </c>
      <c r="F167" s="78">
        <f>SUMPRODUCT((E5:E154="Wk 9 (16 Jun)")*(G5:G154="Bank Transfer")*(F5:F154))</f>
        <v>0</v>
      </c>
      <c r="G167" s="78">
        <f>SUMPRODUCT((E5:E154="Wk 9 (16 Jun)")*(G5:G154="Cheque")*(F5:F154))</f>
        <v>0</v>
      </c>
      <c r="H167" s="79">
        <f t="shared" si="5"/>
        <v>0</v>
      </c>
      <c r="I167" s="60">
        <f t="shared" si="6"/>
        <v>23446.5</v>
      </c>
      <c r="J167" s="77"/>
      <c r="K167" s="80"/>
    </row>
    <row r="168" spans="1:11" ht="21.75" customHeight="1" x14ac:dyDescent="0.25">
      <c r="A168" s="81" t="s">
        <v>205</v>
      </c>
      <c r="B168" s="74">
        <v>46196</v>
      </c>
      <c r="C168" s="82">
        <f>COUNTIF(E5:E154,"Wk 10 (23 Jun)")</f>
        <v>1</v>
      </c>
      <c r="D168" s="83">
        <f>SUMPRODUCT((E5:E154="Wk 10 (23 Jun)")*(G5:G154="Cash")*(F5:F154))</f>
        <v>0</v>
      </c>
      <c r="E168" s="83">
        <f>SUMPRODUCT((E5:E154="Wk 10 (23 Jun)")*((G5:G154="MTN MoMo")+(G5:G154="Vodafone Cash")+(G5:G154="AirtelTigo Money"))*(F5:F154))</f>
        <v>781</v>
      </c>
      <c r="F168" s="83">
        <f>SUMPRODUCT((E5:E154="Wk 10 (23 Jun)")*(G5:G154="Bank Transfer")*(F5:F154))</f>
        <v>0</v>
      </c>
      <c r="G168" s="83">
        <f>SUMPRODUCT((E5:E154="Wk 10 (23 Jun)")*(G5:G154="Cheque")*(F5:F154))</f>
        <v>0</v>
      </c>
      <c r="H168" s="84">
        <f t="shared" si="5"/>
        <v>781</v>
      </c>
      <c r="I168" s="65">
        <f t="shared" si="6"/>
        <v>24227.5</v>
      </c>
      <c r="J168" s="82"/>
      <c r="K168" s="85"/>
    </row>
    <row r="169" spans="1:11" ht="21.75" customHeight="1" x14ac:dyDescent="0.25">
      <c r="A169" s="76" t="s">
        <v>206</v>
      </c>
      <c r="B169" s="72">
        <v>46203</v>
      </c>
      <c r="C169" s="77">
        <f>COUNTIF(E5:E154,"Wk 11 (30 Jun)")</f>
        <v>0</v>
      </c>
      <c r="D169" s="78">
        <f>SUMPRODUCT((E5:E154="Wk 11 (30 Jun)")*(G5:G154="Cash")*(F5:F154))</f>
        <v>0</v>
      </c>
      <c r="E169" s="78">
        <f>SUMPRODUCT((E5:E154="Wk 11 (30 Jun)")*((G5:G154="MTN MoMo")+(G5:G154="Vodafone Cash")+(G5:G154="AirtelTigo Money"))*(F5:F154))</f>
        <v>0</v>
      </c>
      <c r="F169" s="78">
        <f>SUMPRODUCT((E5:E154="Wk 11 (30 Jun)")*(G5:G154="Bank Transfer")*(F5:F154))</f>
        <v>0</v>
      </c>
      <c r="G169" s="78">
        <f>SUMPRODUCT((E5:E154="Wk 11 (30 Jun)")*(G5:G154="Cheque")*(F5:F154))</f>
        <v>0</v>
      </c>
      <c r="H169" s="79">
        <f t="shared" si="5"/>
        <v>0</v>
      </c>
      <c r="I169" s="60">
        <f t="shared" si="6"/>
        <v>24227.5</v>
      </c>
      <c r="J169" s="77"/>
      <c r="K169" s="80"/>
    </row>
    <row r="170" spans="1:11" ht="18.75" customHeight="1" x14ac:dyDescent="0.25">
      <c r="A170" s="81" t="s">
        <v>207</v>
      </c>
      <c r="B170" s="74">
        <v>46210</v>
      </c>
      <c r="C170" s="82">
        <f>COUNTIF(E5:E154,"Wk 12 (07 Jul)")</f>
        <v>1</v>
      </c>
      <c r="D170" s="83">
        <f>SUMPRODUCT((E5:E154="Wk 12 (07 Jul)")*(G5:G154="Cash")*(F5:F154))</f>
        <v>1200</v>
      </c>
      <c r="E170" s="83">
        <f>SUMPRODUCT((E5:E154="Wk 12 (07 Jul)")*((G5:G154="MTN MoMo")+(G5:G154="Vodafone Cash")+(G5:G154="AirtelTigo Money"))*(F5:F154))</f>
        <v>0</v>
      </c>
      <c r="F170" s="83">
        <f>SUMPRODUCT((E5:E154="Wk 12 (07 Jul)")*(G5:G154="Bank Transfer")*(F5:F154))</f>
        <v>0</v>
      </c>
      <c r="G170" s="83">
        <f>SUMPRODUCT((E5:E154="Wk 12 (07 Jul)")*(G5:G154="Cheque")*(F5:F154))</f>
        <v>0</v>
      </c>
      <c r="H170" s="84">
        <f t="shared" si="5"/>
        <v>1200</v>
      </c>
      <c r="I170" s="65">
        <f t="shared" si="6"/>
        <v>25427.5</v>
      </c>
      <c r="J170" s="86" t="s">
        <v>208</v>
      </c>
      <c r="K170" s="85"/>
    </row>
    <row r="171" spans="1:11" ht="18.75" customHeight="1" x14ac:dyDescent="0.25">
      <c r="A171" s="76" t="s">
        <v>209</v>
      </c>
      <c r="B171" s="72">
        <v>46217</v>
      </c>
      <c r="C171" s="77">
        <f>COUNTIF(E5:E154,"Wk 13 (14 Jul)")</f>
        <v>1</v>
      </c>
      <c r="D171" s="78">
        <f>SUMPRODUCT((E5:E154="Wk 13 (14 Jul)")*(G5:G154="Cash")*(F5:F154))</f>
        <v>0</v>
      </c>
      <c r="E171" s="78">
        <f>SUMPRODUCT((E5:E154="Wk 13 (14 Jul)")*((G5:G154="MTN MoMo")+(G5:G154="Vodafone Cash")+(G5:G154="AirtelTigo Money"))*(F5:F154))</f>
        <v>1000</v>
      </c>
      <c r="F171" s="78">
        <f>SUMPRODUCT((E5:E154="Wk 13 (14 Jul)")*(G5:G154="Bank Transfer")*(F5:F154))</f>
        <v>0</v>
      </c>
      <c r="G171" s="78">
        <f>SUMPRODUCT((E5:E154="Wk 13 (14 Jul)")*(G5:G154="Cheque")*(F5:F154))</f>
        <v>0</v>
      </c>
      <c r="H171" s="79">
        <f t="shared" si="5"/>
        <v>1000</v>
      </c>
      <c r="I171" s="60">
        <f t="shared" si="6"/>
        <v>26427.5</v>
      </c>
      <c r="J171" s="87" t="s">
        <v>208</v>
      </c>
      <c r="K171" s="80"/>
    </row>
    <row r="172" spans="1:11" ht="18.75" customHeight="1" x14ac:dyDescent="0.25">
      <c r="A172" s="81" t="s">
        <v>210</v>
      </c>
      <c r="B172" s="74">
        <v>46224</v>
      </c>
      <c r="C172" s="82">
        <f>COUNTIF(E5:E154,"Wk 14 (21 Jul)")</f>
        <v>0</v>
      </c>
      <c r="D172" s="83">
        <f>SUMPRODUCT((E5:E154="Wk 14 (21 Jul)")*(G5:G154="Cash")*(F5:F154))</f>
        <v>0</v>
      </c>
      <c r="E172" s="83">
        <f>SUMPRODUCT((E5:E154="Wk 14 (21 Jul)")*((G5:G154="MTN MoMo")+(G5:G154="Vodafone Cash")+(G5:G154="AirtelTigo Money"))*(F5:F154))</f>
        <v>0</v>
      </c>
      <c r="F172" s="83">
        <f>SUMPRODUCT((E5:E154="Wk 14 (21 Jul)")*(G5:G154="Bank Transfer")*(F5:F154))</f>
        <v>0</v>
      </c>
      <c r="G172" s="83">
        <f>SUMPRODUCT((E5:E154="Wk 14 (21 Jul)")*(G5:G154="Cheque")*(F5:F154))</f>
        <v>0</v>
      </c>
      <c r="H172" s="84">
        <f t="shared" si="5"/>
        <v>0</v>
      </c>
      <c r="I172" s="65">
        <f t="shared" si="6"/>
        <v>26427.5</v>
      </c>
      <c r="J172" s="86" t="s">
        <v>208</v>
      </c>
      <c r="K172" s="85"/>
    </row>
    <row r="173" spans="1:11" ht="15" customHeight="1" x14ac:dyDescent="0.25">
      <c r="A173" s="28" t="s">
        <v>211</v>
      </c>
      <c r="B173" s="28"/>
      <c r="C173" s="88">
        <f t="shared" ref="C173:H173" si="7">SUM(C159:C172)</f>
        <v>16</v>
      </c>
      <c r="D173" s="29">
        <f t="shared" si="7"/>
        <v>7777.5</v>
      </c>
      <c r="E173" s="29">
        <f t="shared" si="7"/>
        <v>12250</v>
      </c>
      <c r="F173" s="29">
        <f t="shared" si="7"/>
        <v>6400</v>
      </c>
      <c r="G173" s="29">
        <f t="shared" si="7"/>
        <v>0</v>
      </c>
      <c r="H173" s="29">
        <f t="shared" si="7"/>
        <v>26427.5</v>
      </c>
      <c r="I173" s="28"/>
      <c r="J173" s="28"/>
      <c r="K173" s="28"/>
    </row>
    <row r="176" spans="1:11" ht="15" customHeight="1" x14ac:dyDescent="0.25">
      <c r="A176" s="142" t="s">
        <v>212</v>
      </c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</row>
    <row r="177" spans="1:11" ht="23.25" customHeight="1" x14ac:dyDescent="0.25">
      <c r="A177" s="8" t="s">
        <v>213</v>
      </c>
      <c r="B177" s="8" t="s">
        <v>214</v>
      </c>
      <c r="C177" s="8" t="s">
        <v>189</v>
      </c>
      <c r="D177" s="8" t="s">
        <v>190</v>
      </c>
      <c r="E177" s="8" t="s">
        <v>191</v>
      </c>
      <c r="F177" s="8" t="s">
        <v>192</v>
      </c>
      <c r="G177" s="8" t="s">
        <v>215</v>
      </c>
      <c r="H177" s="8" t="s">
        <v>194</v>
      </c>
      <c r="I177" s="8" t="s">
        <v>216</v>
      </c>
      <c r="J177" s="8" t="s">
        <v>217</v>
      </c>
      <c r="K177" s="8" t="s">
        <v>36</v>
      </c>
    </row>
    <row r="178" spans="1:11" ht="15" customHeight="1" x14ac:dyDescent="0.25">
      <c r="A178" s="89" t="s">
        <v>218</v>
      </c>
      <c r="B178" s="90">
        <f>SUMPRODUCT((MONTH(A5:A154)=4)*(A5:A154&lt;&gt;""))</f>
        <v>3</v>
      </c>
      <c r="C178" s="78">
        <f>SUMPRODUCT((MONTH(A5:A154)=4)*(G5:G154="Cash")*(F5:F154))</f>
        <v>2000</v>
      </c>
      <c r="D178" s="78">
        <f>SUMPRODUCT((MONTH(A5:A154)=4)*((G5:G154="MTN MoMo")+(G5:G154="Vodafone Cash")+(G5:G154="AirtelTigo Money"))*(F5:F154))</f>
        <v>1000</v>
      </c>
      <c r="E178" s="78">
        <f>SUMPRODUCT((MONTH(A5:A154)=4)*(G5:G154="Bank Transfer")*(F5:F154))</f>
        <v>3200</v>
      </c>
      <c r="F178" s="78">
        <f>SUMPRODUCT((MONTH(A5:A154)=4)*(G5:G154="Cheque")*(F5:F154))</f>
        <v>0</v>
      </c>
      <c r="G178" s="79">
        <f>SUM(C178:F178)</f>
        <v>6200</v>
      </c>
      <c r="H178" s="60">
        <f>G178</f>
        <v>6200</v>
      </c>
      <c r="I178" s="91">
        <v>0.3</v>
      </c>
      <c r="J178" s="78"/>
      <c r="K178" s="92"/>
    </row>
    <row r="179" spans="1:11" ht="15" customHeight="1" x14ac:dyDescent="0.25">
      <c r="A179" s="93" t="s">
        <v>219</v>
      </c>
      <c r="B179" s="94">
        <f>SUMPRODUCT((MONTH(A5:A154)=5)*(A5:A154&lt;&gt;""))</f>
        <v>7</v>
      </c>
      <c r="C179" s="83">
        <f>SUMPRODUCT((MONTH(A5:A154)=5)*(G5:G154="Cash")*(F5:F154))</f>
        <v>4577.5</v>
      </c>
      <c r="D179" s="83">
        <f>SUMPRODUCT((MONTH(A5:A154)=5)*((G5:G154="MTN MoMo")+(G5:G154="Vodafone Cash")+(G5:G154="AirtelTigo Money"))*(F5:F154))</f>
        <v>6849.5</v>
      </c>
      <c r="E179" s="83">
        <f>SUMPRODUCT((MONTH(A5:A154)=5)*(G5:G154="Bank Transfer")*(F5:F154))</f>
        <v>3200</v>
      </c>
      <c r="F179" s="83">
        <f>SUMPRODUCT((MONTH(A5:A154)=5)*(G5:G154="Cheque")*(F5:F154))</f>
        <v>0</v>
      </c>
      <c r="G179" s="84">
        <f>SUM(C179:F179)</f>
        <v>14627</v>
      </c>
      <c r="H179" s="65">
        <f>H178+G179</f>
        <v>20827</v>
      </c>
      <c r="I179" s="95">
        <v>0.65</v>
      </c>
      <c r="J179" s="83"/>
      <c r="K179" s="96"/>
    </row>
    <row r="180" spans="1:11" ht="15" customHeight="1" x14ac:dyDescent="0.25">
      <c r="A180" s="89" t="s">
        <v>220</v>
      </c>
      <c r="B180" s="90">
        <f>SUMPRODUCT((MONTH(A5:A154)=6)*(A5:A154&lt;&gt;""))</f>
        <v>4</v>
      </c>
      <c r="C180" s="78">
        <f>SUMPRODUCT((MONTH(A5:A154)=6)*(G5:G154="Cash")*(F5:F154))</f>
        <v>0</v>
      </c>
      <c r="D180" s="78">
        <f>SUMPRODUCT((MONTH(A5:A154)=6)*((G5:G154="MTN MoMo")+(G5:G154="Vodafone Cash")+(G5:G154="AirtelTigo Money"))*(F5:F154))</f>
        <v>3400.5</v>
      </c>
      <c r="E180" s="78">
        <f>SUMPRODUCT((MONTH(A5:A154)=6)*(G5:G154="Bank Transfer")*(F5:F154))</f>
        <v>0</v>
      </c>
      <c r="F180" s="78">
        <f>SUMPRODUCT((MONTH(A5:A154)=6)*(G5:G154="Cheque")*(F5:F154))</f>
        <v>0</v>
      </c>
      <c r="G180" s="79">
        <f>SUM(C180:F180)</f>
        <v>3400.5</v>
      </c>
      <c r="H180" s="60">
        <f>H179+G180</f>
        <v>24227.5</v>
      </c>
      <c r="I180" s="91">
        <v>1</v>
      </c>
      <c r="J180" s="78"/>
      <c r="K180" s="92"/>
    </row>
    <row r="181" spans="1:11" ht="15" customHeight="1" x14ac:dyDescent="0.25">
      <c r="A181" s="93" t="s">
        <v>221</v>
      </c>
      <c r="B181" s="94">
        <f>SUMPRODUCT((MONTH(A5:A154)=7)*(A5:A154&lt;&gt;""))</f>
        <v>2</v>
      </c>
      <c r="C181" s="83">
        <f>SUMPRODUCT((MONTH(A5:A154)=7)*(G5:G154="Cash")*(F5:F154))</f>
        <v>1200</v>
      </c>
      <c r="D181" s="83">
        <f>SUMPRODUCT((MONTH(A5:A154)=7)*((G5:G154="MTN MoMo")+(G5:G154="Vodafone Cash")+(G5:G154="AirtelTigo Money"))*(F5:F154))</f>
        <v>1000</v>
      </c>
      <c r="E181" s="83">
        <f>SUMPRODUCT((MONTH(A5:A154)=7)*(G5:G154="Bank Transfer")*(F5:F154))</f>
        <v>0</v>
      </c>
      <c r="F181" s="83">
        <f>SUMPRODUCT((MONTH(A5:A154)=7)*(G5:G154="Cheque")*(F5:F154))</f>
        <v>0</v>
      </c>
      <c r="G181" s="84">
        <f>SUM(C181:F181)</f>
        <v>2200</v>
      </c>
      <c r="H181" s="65">
        <f>H180+G181</f>
        <v>26427.5</v>
      </c>
      <c r="I181" s="95">
        <v>1</v>
      </c>
      <c r="J181" s="83"/>
      <c r="K181" s="96"/>
    </row>
    <row r="182" spans="1:11" ht="15" customHeight="1" x14ac:dyDescent="0.25">
      <c r="A182" s="28" t="s">
        <v>222</v>
      </c>
      <c r="B182" s="88">
        <f t="shared" ref="B182:G182" si="8">SUM(B178:B181)</f>
        <v>16</v>
      </c>
      <c r="C182" s="29">
        <f t="shared" si="8"/>
        <v>7777.5</v>
      </c>
      <c r="D182" s="29">
        <f t="shared" si="8"/>
        <v>12250</v>
      </c>
      <c r="E182" s="29">
        <f t="shared" si="8"/>
        <v>6400</v>
      </c>
      <c r="F182" s="29">
        <f t="shared" si="8"/>
        <v>0</v>
      </c>
      <c r="G182" s="29">
        <f t="shared" si="8"/>
        <v>26427.5</v>
      </c>
      <c r="H182" s="28"/>
      <c r="I182" s="28"/>
      <c r="J182" s="28"/>
      <c r="K182" s="28"/>
    </row>
  </sheetData>
  <mergeCells count="7">
    <mergeCell ref="A157:K157"/>
    <mergeCell ref="A176:K176"/>
    <mergeCell ref="A1:K1"/>
    <mergeCell ref="A2:K2"/>
    <mergeCell ref="A3:F3"/>
    <mergeCell ref="G3:I3"/>
    <mergeCell ref="J3:K3"/>
  </mergeCells>
  <dataValidations count="6">
    <dataValidation type="list" allowBlank="1" showInputMessage="1" promptTitle="Pupil Name" prompt="Select the pupil making the payment" sqref="C5:C154" xr:uid="{00000000-0002-0000-0D00-000000000000}">
      <formula1>$P$1:$P$10</formula1>
      <formula2>0</formula2>
    </dataValidation>
    <dataValidation type="list" allowBlank="1" showInputMessage="1" promptTitle="Week" prompt="Select the week of payment" sqref="E5:E154" xr:uid="{00000000-0002-0000-0D00-000001000000}">
      <formula1>"Wk 1 (21 Apr),Wk 2 (28 Apr),Wk 3 (05 May),Wk 4 (12 May),Wk 5 (19 May),Wk 6 (26 May),Wk 7 (02 Jun),Wk 8 (09 Jun),Wk 9 (16 Jun),Wk 10 (23 Jun),Wk 11 (30 Jun),Wk 12 (07 Jul),Wk 13 (14 Jul),Wk 14 (21 Jul)"</formula1>
      <formula2>0</formula2>
    </dataValidation>
    <dataValidation type="list" allowBlank="1" sqref="G5:G154" xr:uid="{00000000-0002-0000-0D00-000002000000}">
      <formula1>"Cash,MTN MoMo,Vodafone Cash,AirtelTigo Money,Bank Transfer,Cheque"</formula1>
      <formula2>0</formula2>
    </dataValidation>
    <dataValidation type="list" allowBlank="1" sqref="D5:D154" xr:uid="{00000000-0002-0000-0D00-000003000000}">
      <formula1>"Term 3,Term 2 Arrears,Term 1 Arrears"</formula1>
      <formula2>0</formula2>
    </dataValidation>
    <dataValidation type="list" allowBlank="1" sqref="J5:J154" xr:uid="{00000000-0002-0000-0D00-000004000000}">
      <formula1>"Yes,No,Pending"</formula1>
      <formula2>0</formula2>
    </dataValidation>
    <dataValidation type="list" allowBlank="1" sqref="H5:H154" xr:uid="{00000000-0002-0000-0D00-000005000000}">
      <formula1>"Dorcas Matilda Akosua Kusi,Hannah Ayorkor Laryea,Other"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A04030"/>
  </sheetPr>
  <dimension ref="A1:Q24"/>
  <sheetViews>
    <sheetView zoomScaleNormal="100" workbookViewId="0">
      <pane xSplit="2" ySplit="4" topLeftCell="H5" activePane="bottomRight" state="frozen"/>
      <selection pane="topRight" activeCell="C1" sqref="C1"/>
      <selection pane="bottomLeft" activeCell="A5" sqref="A5"/>
      <selection pane="bottomRight" activeCell="B19" sqref="B19"/>
    </sheetView>
  </sheetViews>
  <sheetFormatPr defaultColWidth="8.7109375" defaultRowHeight="15" x14ac:dyDescent="0.25"/>
  <cols>
    <col min="1" max="1" width="5" customWidth="1"/>
    <col min="2" max="2" width="36" customWidth="1"/>
    <col min="3" max="3" width="14" customWidth="1"/>
    <col min="4" max="16" width="13" customWidth="1"/>
    <col min="17" max="17" width="45" customWidth="1"/>
  </cols>
  <sheetData>
    <row r="1" spans="1:17" ht="25.5" customHeight="1" x14ac:dyDescent="0.25">
      <c r="A1" s="144" t="s">
        <v>301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3" spans="1:17" ht="15" customHeight="1" x14ac:dyDescent="0.25">
      <c r="A3" s="120" t="s">
        <v>149</v>
      </c>
      <c r="B3" s="120"/>
      <c r="C3" s="120"/>
      <c r="D3" s="121" t="s">
        <v>150</v>
      </c>
      <c r="E3" s="121"/>
      <c r="F3" s="121"/>
      <c r="G3" s="121"/>
      <c r="H3" s="122" t="s">
        <v>151</v>
      </c>
      <c r="I3" s="122"/>
      <c r="J3" s="122"/>
      <c r="K3" s="122"/>
      <c r="L3" s="122"/>
      <c r="M3" s="123" t="s">
        <v>263</v>
      </c>
      <c r="N3" s="123"/>
      <c r="O3" s="123"/>
      <c r="P3" s="123"/>
      <c r="Q3" s="32" t="s">
        <v>153</v>
      </c>
    </row>
    <row r="4" spans="1:17" ht="27.75" customHeight="1" x14ac:dyDescent="0.25">
      <c r="A4" s="6" t="s">
        <v>87</v>
      </c>
      <c r="B4" s="6" t="s">
        <v>88</v>
      </c>
      <c r="C4" s="6" t="s">
        <v>33</v>
      </c>
      <c r="D4" s="5" t="s">
        <v>154</v>
      </c>
      <c r="E4" s="5" t="s">
        <v>155</v>
      </c>
      <c r="F4" s="5" t="s">
        <v>72</v>
      </c>
      <c r="G4" s="5" t="s">
        <v>73</v>
      </c>
      <c r="H4" s="4" t="s">
        <v>156</v>
      </c>
      <c r="I4" s="4" t="s">
        <v>157</v>
      </c>
      <c r="J4" s="4" t="s">
        <v>76</v>
      </c>
      <c r="K4" s="4" t="s">
        <v>77</v>
      </c>
      <c r="L4" s="4" t="s">
        <v>78</v>
      </c>
      <c r="M4" s="3" t="s">
        <v>80</v>
      </c>
      <c r="N4" s="3" t="s">
        <v>81</v>
      </c>
      <c r="O4" s="3" t="s">
        <v>158</v>
      </c>
      <c r="P4" s="3" t="s">
        <v>159</v>
      </c>
      <c r="Q4" s="32" t="s">
        <v>160</v>
      </c>
    </row>
    <row r="5" spans="1:17" ht="15" customHeight="1" x14ac:dyDescent="0.25">
      <c r="A5" s="57">
        <v>1</v>
      </c>
      <c r="B5" s="58" t="s">
        <v>302</v>
      </c>
      <c r="C5" s="57"/>
      <c r="D5" s="59">
        <v>3200</v>
      </c>
      <c r="E5" s="59"/>
      <c r="F5" s="59">
        <v>3200</v>
      </c>
      <c r="G5" s="59">
        <f t="shared" ref="G5:G12" si="0">IF(B5="","",IF(D5="",0,D5)+IF(E5="",0,E5)-IF(F5="",0,F5))</f>
        <v>0</v>
      </c>
      <c r="H5" s="59">
        <v>3000</v>
      </c>
      <c r="I5" s="59"/>
      <c r="J5" s="59"/>
      <c r="K5" s="59">
        <v>3000</v>
      </c>
      <c r="L5" s="59">
        <f t="shared" ref="L5:L12" si="1">IF(B5="","",IF(H5="",0,H5)+IF(I5="",0,I5)-IF(J5="",0,J5)-IF(K5="",0,K5))</f>
        <v>0</v>
      </c>
      <c r="M5" s="59">
        <v>3000</v>
      </c>
      <c r="N5" s="59"/>
      <c r="O5" s="59">
        <f>SUMIF('Grade 2 - Payments'!C5:C154,B5,'Grade 2 - Payments'!F5:F154)</f>
        <v>3200</v>
      </c>
      <c r="P5" s="60">
        <f t="shared" ref="P5:P12" si="2">IF(B5="","",IF(M5="",0,M5)-IF(N5="",0,N5)+IF(L5&lt;0,0,IF(L5="",0,L5))-IF(O5="",0,O5))</f>
        <v>-200</v>
      </c>
      <c r="Q5" s="61"/>
    </row>
    <row r="6" spans="1:17" ht="15" customHeight="1" x14ac:dyDescent="0.25">
      <c r="A6" s="62">
        <v>2</v>
      </c>
      <c r="B6" s="63" t="s">
        <v>303</v>
      </c>
      <c r="C6" s="62"/>
      <c r="D6" s="64">
        <v>3200</v>
      </c>
      <c r="E6" s="64"/>
      <c r="F6" s="64">
        <v>3000</v>
      </c>
      <c r="G6" s="64">
        <f t="shared" si="0"/>
        <v>200</v>
      </c>
      <c r="H6" s="64">
        <v>3000</v>
      </c>
      <c r="I6" s="64"/>
      <c r="J6" s="64"/>
      <c r="K6" s="64">
        <v>3000</v>
      </c>
      <c r="L6" s="64">
        <f t="shared" si="1"/>
        <v>0</v>
      </c>
      <c r="M6" s="64">
        <v>3000</v>
      </c>
      <c r="N6" s="64"/>
      <c r="O6" s="64">
        <f>SUMIF('Grade 2 - Payments'!C5:C154,B6,'Grade 2 - Payments'!F5:F154)</f>
        <v>3200</v>
      </c>
      <c r="P6" s="65">
        <f t="shared" si="2"/>
        <v>-200</v>
      </c>
      <c r="Q6" s="66"/>
    </row>
    <row r="7" spans="1:17" ht="15" customHeight="1" x14ac:dyDescent="0.25">
      <c r="A7" s="57">
        <v>3</v>
      </c>
      <c r="B7" s="58" t="s">
        <v>108</v>
      </c>
      <c r="C7" s="57"/>
      <c r="D7" s="59">
        <v>3200</v>
      </c>
      <c r="E7" s="59"/>
      <c r="F7" s="59">
        <v>2900</v>
      </c>
      <c r="G7" s="59">
        <f t="shared" si="0"/>
        <v>300</v>
      </c>
      <c r="H7" s="59">
        <v>3000</v>
      </c>
      <c r="I7" s="59"/>
      <c r="J7" s="59"/>
      <c r="K7" s="59">
        <v>1650</v>
      </c>
      <c r="L7" s="59">
        <f t="shared" si="1"/>
        <v>1350</v>
      </c>
      <c r="M7" s="59">
        <v>3000</v>
      </c>
      <c r="N7" s="59"/>
      <c r="O7" s="59">
        <f>SUMIF('Grade 2 - Payments'!C5:C154,B7,'Grade 2 - Payments'!F5:F154)</f>
        <v>4750</v>
      </c>
      <c r="P7" s="60">
        <f t="shared" si="2"/>
        <v>-400</v>
      </c>
      <c r="Q7" s="61" t="s">
        <v>304</v>
      </c>
    </row>
    <row r="8" spans="1:17" ht="15" customHeight="1" x14ac:dyDescent="0.25">
      <c r="A8" s="62">
        <v>4</v>
      </c>
      <c r="B8" s="63" t="s">
        <v>305</v>
      </c>
      <c r="C8" s="62"/>
      <c r="D8" s="64">
        <v>3200</v>
      </c>
      <c r="E8" s="64"/>
      <c r="F8" s="64">
        <v>3200</v>
      </c>
      <c r="G8" s="64">
        <f t="shared" si="0"/>
        <v>0</v>
      </c>
      <c r="H8" s="64">
        <v>3000</v>
      </c>
      <c r="I8" s="64"/>
      <c r="J8" s="64"/>
      <c r="K8" s="64">
        <v>3000</v>
      </c>
      <c r="L8" s="64">
        <f t="shared" si="1"/>
        <v>0</v>
      </c>
      <c r="M8" s="64">
        <v>3000</v>
      </c>
      <c r="N8" s="64"/>
      <c r="O8" s="64">
        <f>SUMIF('Grade 2 - Payments'!C5:C154,B8,'Grade 2 - Payments'!F5:F154)</f>
        <v>3200</v>
      </c>
      <c r="P8" s="65">
        <f t="shared" si="2"/>
        <v>-200</v>
      </c>
      <c r="Q8" s="66"/>
    </row>
    <row r="9" spans="1:17" ht="30" customHeight="1" x14ac:dyDescent="0.25">
      <c r="A9" s="57">
        <v>5</v>
      </c>
      <c r="B9" s="58" t="s">
        <v>104</v>
      </c>
      <c r="C9" s="57"/>
      <c r="D9" s="59">
        <v>3200</v>
      </c>
      <c r="E9" s="59"/>
      <c r="F9" s="59"/>
      <c r="G9" s="59">
        <f t="shared" si="0"/>
        <v>3200</v>
      </c>
      <c r="H9" s="59">
        <v>3000</v>
      </c>
      <c r="I9" s="59">
        <v>1700</v>
      </c>
      <c r="J9" s="59"/>
      <c r="K9" s="59">
        <v>2577.5</v>
      </c>
      <c r="L9" s="59">
        <f>IF(B9="","",IF(H9="",0,H9)+IF(I9="",0,I9)-IF(J9="",0,J9)-IF(K9="",0,K9))</f>
        <v>2122.5</v>
      </c>
      <c r="M9" s="59">
        <v>3000</v>
      </c>
      <c r="N9" s="59"/>
      <c r="O9" s="59">
        <f>SUMIF('Grade 2 - Payments'!C5:C154,B9,'Grade 2 - Payments'!F5:F154)</f>
        <v>4222.5</v>
      </c>
      <c r="P9" s="60">
        <f t="shared" si="2"/>
        <v>900</v>
      </c>
      <c r="Q9" s="61" t="s">
        <v>306</v>
      </c>
    </row>
    <row r="10" spans="1:17" ht="15" customHeight="1" x14ac:dyDescent="0.25">
      <c r="A10" s="62">
        <v>6</v>
      </c>
      <c r="B10" s="63" t="s">
        <v>307</v>
      </c>
      <c r="C10" s="62" t="s">
        <v>98</v>
      </c>
      <c r="D10" s="64">
        <v>3050</v>
      </c>
      <c r="E10" s="64"/>
      <c r="F10" s="64">
        <v>3050</v>
      </c>
      <c r="G10" s="64">
        <f t="shared" si="0"/>
        <v>0</v>
      </c>
      <c r="H10" s="64">
        <v>3000</v>
      </c>
      <c r="I10" s="64"/>
      <c r="J10" s="64">
        <v>150</v>
      </c>
      <c r="K10" s="64">
        <v>2850</v>
      </c>
      <c r="L10" s="64">
        <f t="shared" si="1"/>
        <v>0</v>
      </c>
      <c r="M10" s="64">
        <v>3000</v>
      </c>
      <c r="N10" s="64">
        <v>150</v>
      </c>
      <c r="O10" s="64">
        <f>SUMIF('Grade 2 - Payments'!C5:C154,B10,'Grade 2 - Payments'!F5:F154)</f>
        <v>3050</v>
      </c>
      <c r="P10" s="65">
        <f t="shared" si="2"/>
        <v>-200</v>
      </c>
      <c r="Q10" s="66"/>
    </row>
    <row r="11" spans="1:17" ht="15" customHeight="1" x14ac:dyDescent="0.25">
      <c r="A11" s="57">
        <v>7</v>
      </c>
      <c r="B11" s="58" t="s">
        <v>123</v>
      </c>
      <c r="C11" s="57"/>
      <c r="D11" s="59">
        <v>3200</v>
      </c>
      <c r="E11" s="59"/>
      <c r="F11" s="59">
        <v>1800</v>
      </c>
      <c r="G11" s="59">
        <f t="shared" si="0"/>
        <v>1400</v>
      </c>
      <c r="H11" s="59"/>
      <c r="I11" s="59">
        <v>400</v>
      </c>
      <c r="J11" s="59"/>
      <c r="K11" s="59"/>
      <c r="L11" s="59">
        <f t="shared" si="1"/>
        <v>400</v>
      </c>
      <c r="M11" s="59">
        <v>0</v>
      </c>
      <c r="N11" s="59"/>
      <c r="O11" s="59">
        <f>SUMIF('Grade 2 - Payments'!C5:C154,B11,'Grade 2 - Payments'!F5:F154)</f>
        <v>0</v>
      </c>
      <c r="P11" s="60">
        <f t="shared" si="2"/>
        <v>400</v>
      </c>
      <c r="Q11" s="61" t="s">
        <v>308</v>
      </c>
    </row>
    <row r="12" spans="1:17" ht="15" customHeight="1" x14ac:dyDescent="0.25">
      <c r="A12" s="62">
        <v>8</v>
      </c>
      <c r="B12" s="63" t="s">
        <v>309</v>
      </c>
      <c r="C12" s="62" t="s">
        <v>247</v>
      </c>
      <c r="D12" s="64">
        <v>3200</v>
      </c>
      <c r="E12" s="64"/>
      <c r="F12" s="64">
        <v>3200</v>
      </c>
      <c r="G12" s="64">
        <f t="shared" si="0"/>
        <v>0</v>
      </c>
      <c r="H12" s="64">
        <v>3000</v>
      </c>
      <c r="I12" s="64"/>
      <c r="J12" s="64">
        <v>2000</v>
      </c>
      <c r="K12" s="64">
        <v>1000</v>
      </c>
      <c r="L12" s="64">
        <f t="shared" si="1"/>
        <v>0</v>
      </c>
      <c r="M12" s="64">
        <v>3000</v>
      </c>
      <c r="N12" s="64"/>
      <c r="O12" s="64">
        <f>SUMIF('Grade 2 - Payments'!C5:C154,B12,'Grade 2 - Payments'!F5:F154)</f>
        <v>3200</v>
      </c>
      <c r="P12" s="65">
        <f t="shared" si="2"/>
        <v>-200</v>
      </c>
      <c r="Q12" s="66" t="s">
        <v>290</v>
      </c>
    </row>
    <row r="13" spans="1:17" ht="15" customHeight="1" x14ac:dyDescent="0.25">
      <c r="A13" s="57">
        <v>9</v>
      </c>
      <c r="B13" s="58"/>
      <c r="C13" s="57"/>
      <c r="D13" s="59"/>
      <c r="E13" s="59"/>
      <c r="F13" s="59"/>
      <c r="G13" s="59" t="str">
        <f t="shared" ref="G13:G22" si="3">IF(B13="","",0)</f>
        <v/>
      </c>
      <c r="H13" s="59"/>
      <c r="I13" s="59"/>
      <c r="J13" s="59"/>
      <c r="K13" s="59"/>
      <c r="L13" s="59" t="str">
        <f t="shared" ref="L13:L22" si="4">IF(B13="","",0)</f>
        <v/>
      </c>
      <c r="M13" s="59"/>
      <c r="N13" s="59"/>
      <c r="O13" s="59"/>
      <c r="P13" s="59" t="str">
        <f t="shared" ref="P13:P22" si="5">IF(B13="","",0)</f>
        <v/>
      </c>
      <c r="Q13" s="61"/>
    </row>
    <row r="14" spans="1:17" ht="15" customHeight="1" x14ac:dyDescent="0.25">
      <c r="A14" s="62">
        <v>10</v>
      </c>
      <c r="B14" s="63"/>
      <c r="C14" s="62"/>
      <c r="D14" s="64"/>
      <c r="E14" s="64"/>
      <c r="F14" s="64"/>
      <c r="G14" s="64" t="str">
        <f t="shared" si="3"/>
        <v/>
      </c>
      <c r="H14" s="64"/>
      <c r="I14" s="64"/>
      <c r="J14" s="64"/>
      <c r="K14" s="64"/>
      <c r="L14" s="64" t="str">
        <f t="shared" si="4"/>
        <v/>
      </c>
      <c r="M14" s="64"/>
      <c r="N14" s="64"/>
      <c r="O14" s="64"/>
      <c r="P14" s="64" t="str">
        <f t="shared" si="5"/>
        <v/>
      </c>
      <c r="Q14" s="66"/>
    </row>
    <row r="15" spans="1:17" ht="15" customHeight="1" x14ac:dyDescent="0.25">
      <c r="A15" s="57">
        <v>11</v>
      </c>
      <c r="B15" s="58"/>
      <c r="C15" s="57"/>
      <c r="D15" s="59"/>
      <c r="E15" s="59"/>
      <c r="F15" s="59"/>
      <c r="G15" s="59" t="str">
        <f t="shared" si="3"/>
        <v/>
      </c>
      <c r="H15" s="59"/>
      <c r="I15" s="59"/>
      <c r="J15" s="59"/>
      <c r="K15" s="59"/>
      <c r="L15" s="59" t="str">
        <f t="shared" si="4"/>
        <v/>
      </c>
      <c r="M15" s="59"/>
      <c r="N15" s="59"/>
      <c r="O15" s="59"/>
      <c r="P15" s="59" t="str">
        <f t="shared" si="5"/>
        <v/>
      </c>
      <c r="Q15" s="61"/>
    </row>
    <row r="16" spans="1:17" ht="15" customHeight="1" x14ac:dyDescent="0.25">
      <c r="A16" s="62">
        <v>12</v>
      </c>
      <c r="B16" s="63"/>
      <c r="C16" s="62"/>
      <c r="D16" s="64"/>
      <c r="E16" s="64"/>
      <c r="F16" s="64"/>
      <c r="G16" s="64" t="str">
        <f t="shared" si="3"/>
        <v/>
      </c>
      <c r="H16" s="64"/>
      <c r="I16" s="64"/>
      <c r="J16" s="64"/>
      <c r="K16" s="64"/>
      <c r="L16" s="64" t="str">
        <f t="shared" si="4"/>
        <v/>
      </c>
      <c r="M16" s="64"/>
      <c r="N16" s="64"/>
      <c r="O16" s="64"/>
      <c r="P16" s="64" t="str">
        <f t="shared" si="5"/>
        <v/>
      </c>
      <c r="Q16" s="66"/>
    </row>
    <row r="17" spans="1:17" ht="15" customHeight="1" x14ac:dyDescent="0.25">
      <c r="A17" s="57">
        <v>13</v>
      </c>
      <c r="B17" s="58"/>
      <c r="C17" s="57"/>
      <c r="D17" s="59"/>
      <c r="E17" s="59"/>
      <c r="F17" s="59"/>
      <c r="G17" s="59" t="str">
        <f t="shared" si="3"/>
        <v/>
      </c>
      <c r="H17" s="59"/>
      <c r="I17" s="59"/>
      <c r="J17" s="59"/>
      <c r="K17" s="59"/>
      <c r="L17" s="59" t="str">
        <f t="shared" si="4"/>
        <v/>
      </c>
      <c r="M17" s="59"/>
      <c r="N17" s="59"/>
      <c r="O17" s="59"/>
      <c r="P17" s="59" t="str">
        <f t="shared" si="5"/>
        <v/>
      </c>
      <c r="Q17" s="61"/>
    </row>
    <row r="18" spans="1:17" ht="15" customHeight="1" x14ac:dyDescent="0.25">
      <c r="A18" s="62">
        <v>14</v>
      </c>
      <c r="B18" s="63"/>
      <c r="C18" s="62"/>
      <c r="D18" s="64"/>
      <c r="E18" s="64"/>
      <c r="F18" s="64"/>
      <c r="G18" s="64" t="str">
        <f t="shared" si="3"/>
        <v/>
      </c>
      <c r="H18" s="64"/>
      <c r="I18" s="64"/>
      <c r="J18" s="64"/>
      <c r="K18" s="64"/>
      <c r="L18" s="64" t="str">
        <f t="shared" si="4"/>
        <v/>
      </c>
      <c r="M18" s="64"/>
      <c r="N18" s="64"/>
      <c r="O18" s="64"/>
      <c r="P18" s="64" t="str">
        <f t="shared" si="5"/>
        <v/>
      </c>
      <c r="Q18" s="66"/>
    </row>
    <row r="19" spans="1:17" ht="15" customHeight="1" x14ac:dyDescent="0.25">
      <c r="A19" s="57">
        <v>15</v>
      </c>
      <c r="B19" s="58"/>
      <c r="C19" s="57"/>
      <c r="D19" s="59"/>
      <c r="E19" s="59"/>
      <c r="F19" s="59"/>
      <c r="G19" s="59" t="str">
        <f t="shared" si="3"/>
        <v/>
      </c>
      <c r="H19" s="59"/>
      <c r="I19" s="59"/>
      <c r="J19" s="59"/>
      <c r="K19" s="59"/>
      <c r="L19" s="59" t="str">
        <f t="shared" si="4"/>
        <v/>
      </c>
      <c r="M19" s="59"/>
      <c r="N19" s="59"/>
      <c r="O19" s="59"/>
      <c r="P19" s="59" t="str">
        <f t="shared" si="5"/>
        <v/>
      </c>
      <c r="Q19" s="61"/>
    </row>
    <row r="20" spans="1:17" ht="15" customHeight="1" x14ac:dyDescent="0.25">
      <c r="A20" s="62">
        <v>16</v>
      </c>
      <c r="B20" s="63"/>
      <c r="C20" s="62"/>
      <c r="D20" s="64"/>
      <c r="E20" s="64"/>
      <c r="F20" s="64"/>
      <c r="G20" s="64" t="str">
        <f t="shared" si="3"/>
        <v/>
      </c>
      <c r="H20" s="64"/>
      <c r="I20" s="64"/>
      <c r="J20" s="64"/>
      <c r="K20" s="64"/>
      <c r="L20" s="64" t="str">
        <f t="shared" si="4"/>
        <v/>
      </c>
      <c r="M20" s="64"/>
      <c r="N20" s="64"/>
      <c r="O20" s="64"/>
      <c r="P20" s="64" t="str">
        <f t="shared" si="5"/>
        <v/>
      </c>
      <c r="Q20" s="66"/>
    </row>
    <row r="21" spans="1:17" ht="15" customHeight="1" x14ac:dyDescent="0.25">
      <c r="A21" s="57">
        <v>17</v>
      </c>
      <c r="B21" s="58"/>
      <c r="C21" s="57"/>
      <c r="D21" s="59"/>
      <c r="E21" s="59"/>
      <c r="F21" s="59"/>
      <c r="G21" s="59" t="str">
        <f t="shared" si="3"/>
        <v/>
      </c>
      <c r="H21" s="59"/>
      <c r="I21" s="59"/>
      <c r="J21" s="59"/>
      <c r="K21" s="59"/>
      <c r="L21" s="59" t="str">
        <f t="shared" si="4"/>
        <v/>
      </c>
      <c r="M21" s="59"/>
      <c r="N21" s="59"/>
      <c r="O21" s="59"/>
      <c r="P21" s="59" t="str">
        <f t="shared" si="5"/>
        <v/>
      </c>
      <c r="Q21" s="61"/>
    </row>
    <row r="22" spans="1:17" ht="15" customHeight="1" x14ac:dyDescent="0.25">
      <c r="A22" s="62">
        <v>18</v>
      </c>
      <c r="B22" s="63"/>
      <c r="C22" s="62"/>
      <c r="D22" s="64"/>
      <c r="E22" s="64"/>
      <c r="F22" s="64"/>
      <c r="G22" s="64" t="str">
        <f t="shared" si="3"/>
        <v/>
      </c>
      <c r="H22" s="64"/>
      <c r="I22" s="64"/>
      <c r="J22" s="64"/>
      <c r="K22" s="64"/>
      <c r="L22" s="64" t="str">
        <f t="shared" si="4"/>
        <v/>
      </c>
      <c r="M22" s="64"/>
      <c r="N22" s="64"/>
      <c r="O22" s="64"/>
      <c r="P22" s="64" t="str">
        <f t="shared" si="5"/>
        <v/>
      </c>
      <c r="Q22" s="66"/>
    </row>
    <row r="23" spans="1:17" ht="15" customHeight="1" x14ac:dyDescent="0.25">
      <c r="A23" s="28"/>
      <c r="B23" s="28" t="s">
        <v>84</v>
      </c>
      <c r="C23" s="28"/>
      <c r="D23" s="29">
        <f t="shared" ref="D23:P23" si="6">SUM(D5:D22)</f>
        <v>25450</v>
      </c>
      <c r="E23" s="29">
        <f t="shared" si="6"/>
        <v>0</v>
      </c>
      <c r="F23" s="29">
        <f t="shared" si="6"/>
        <v>20350</v>
      </c>
      <c r="G23" s="29">
        <f t="shared" si="6"/>
        <v>5100</v>
      </c>
      <c r="H23" s="29">
        <f t="shared" si="6"/>
        <v>21000</v>
      </c>
      <c r="I23" s="29">
        <f t="shared" si="6"/>
        <v>2100</v>
      </c>
      <c r="J23" s="29">
        <f t="shared" si="6"/>
        <v>2150</v>
      </c>
      <c r="K23" s="29">
        <f t="shared" si="6"/>
        <v>17077.5</v>
      </c>
      <c r="L23" s="29">
        <f t="shared" si="6"/>
        <v>3872.5</v>
      </c>
      <c r="M23" s="29">
        <f t="shared" si="6"/>
        <v>21000</v>
      </c>
      <c r="N23" s="29">
        <f t="shared" si="6"/>
        <v>150</v>
      </c>
      <c r="O23" s="29">
        <f t="shared" si="6"/>
        <v>24822.5</v>
      </c>
      <c r="P23" s="29">
        <f t="shared" si="6"/>
        <v>-100</v>
      </c>
      <c r="Q23" s="61"/>
    </row>
    <row r="24" spans="1:17" ht="15" customHeight="1" x14ac:dyDescent="0.25">
      <c r="B24" s="67" t="s">
        <v>169</v>
      </c>
      <c r="F24" s="68" t="s">
        <v>170</v>
      </c>
      <c r="G24" s="69">
        <f>IF(D23+E23=0,1,F23/(D23+E23))</f>
        <v>0.79960707269155207</v>
      </c>
      <c r="K24" s="68" t="s">
        <v>171</v>
      </c>
      <c r="L24" s="70">
        <f>IF(H23+I23-J23=0,1,K23/(H23+I23-J23))</f>
        <v>0.81515513126491645</v>
      </c>
      <c r="O24" s="71">
        <f>SUMIF('Grade 2 - Payments'!C5:C154,B24,'Grade 2 - Payments'!F5:F154)</f>
        <v>0</v>
      </c>
      <c r="Q24" s="66"/>
    </row>
  </sheetData>
  <mergeCells count="5">
    <mergeCell ref="A1:O1"/>
    <mergeCell ref="A3:C3"/>
    <mergeCell ref="D3:G3"/>
    <mergeCell ref="H3:L3"/>
    <mergeCell ref="M3:P3"/>
  </mergeCells>
  <dataValidations count="1">
    <dataValidation type="list" allowBlank="1" showInputMessage="1" showErrorMessage="1" errorTitle="Invalid Entry" error="Select from: None, Founding Family, Sibling, Sibling 2nd, Sibling 3rd, Staff Child, or Waiver." promptTitle="Discount Type" prompt="Select discount type or &quot;None&quot; for full-fee pupils." sqref="C5:C22" xr:uid="{00000000-0002-0000-0E00-000000000000}">
      <formula1>"None,Founding Family,Sibling,Sibling 2nd,Sibling 3rd,Staff Child,Waiver"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04030"/>
  </sheetPr>
  <dimension ref="A1:P182"/>
  <sheetViews>
    <sheetView zoomScaleNormal="100"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G24" sqref="G24"/>
    </sheetView>
  </sheetViews>
  <sheetFormatPr defaultColWidth="8.7109375" defaultRowHeight="15" x14ac:dyDescent="0.25"/>
  <cols>
    <col min="1" max="1" width="12" customWidth="1"/>
    <col min="2" max="2" width="13" customWidth="1"/>
    <col min="3" max="3" width="30" customWidth="1"/>
    <col min="4" max="4" width="13.7109375" customWidth="1"/>
    <col min="5" max="5" width="18" customWidth="1"/>
    <col min="6" max="6" width="14" customWidth="1"/>
    <col min="7" max="7" width="20" customWidth="1"/>
    <col min="8" max="8" width="29.42578125" customWidth="1"/>
    <col min="9" max="9" width="14" customWidth="1"/>
    <col min="10" max="10" width="10" customWidth="1"/>
    <col min="11" max="11" width="28" customWidth="1"/>
    <col min="16" max="16" width="13" hidden="1" customWidth="1"/>
  </cols>
  <sheetData>
    <row r="1" spans="1:16" ht="25.5" customHeight="1" x14ac:dyDescent="0.25">
      <c r="A1" s="144" t="s">
        <v>310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P1" t="s">
        <v>302</v>
      </c>
    </row>
    <row r="2" spans="1:16" ht="15" customHeight="1" x14ac:dyDescent="0.25">
      <c r="A2" s="131" t="s">
        <v>173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P2" t="s">
        <v>303</v>
      </c>
    </row>
    <row r="3" spans="1:16" ht="15" customHeight="1" x14ac:dyDescent="0.25">
      <c r="A3" s="132" t="s">
        <v>174</v>
      </c>
      <c r="B3" s="132"/>
      <c r="C3" s="132"/>
      <c r="D3" s="132"/>
      <c r="E3" s="132"/>
      <c r="F3" s="132"/>
      <c r="G3" s="145" t="s">
        <v>175</v>
      </c>
      <c r="H3" s="145"/>
      <c r="I3" s="145"/>
      <c r="J3" s="134" t="s">
        <v>176</v>
      </c>
      <c r="K3" s="134"/>
      <c r="P3" t="s">
        <v>108</v>
      </c>
    </row>
    <row r="4" spans="1:16" ht="25.5" customHeight="1" x14ac:dyDescent="0.25">
      <c r="A4" s="2" t="s">
        <v>177</v>
      </c>
      <c r="B4" s="2" t="s">
        <v>178</v>
      </c>
      <c r="C4" s="2" t="s">
        <v>88</v>
      </c>
      <c r="D4" s="2" t="s">
        <v>179</v>
      </c>
      <c r="E4" s="2" t="s">
        <v>180</v>
      </c>
      <c r="F4" s="2" t="s">
        <v>181</v>
      </c>
      <c r="G4" s="17" t="s">
        <v>182</v>
      </c>
      <c r="H4" s="17" t="s">
        <v>183</v>
      </c>
      <c r="I4" s="17" t="s">
        <v>184</v>
      </c>
      <c r="J4" s="8" t="s">
        <v>185</v>
      </c>
      <c r="K4" s="8" t="s">
        <v>36</v>
      </c>
      <c r="P4" t="s">
        <v>305</v>
      </c>
    </row>
    <row r="5" spans="1:16" ht="15" customHeight="1" x14ac:dyDescent="0.25">
      <c r="A5" s="72">
        <v>46111</v>
      </c>
      <c r="B5" s="57">
        <v>1025</v>
      </c>
      <c r="C5" s="58" t="s">
        <v>104</v>
      </c>
      <c r="D5" s="57" t="s">
        <v>336</v>
      </c>
      <c r="E5" s="57"/>
      <c r="F5" s="59">
        <v>600</v>
      </c>
      <c r="G5" s="57" t="s">
        <v>338</v>
      </c>
      <c r="H5" s="58" t="s">
        <v>337</v>
      </c>
      <c r="I5" s="107">
        <f>IF(F5="","",F5)</f>
        <v>600</v>
      </c>
      <c r="J5" s="57"/>
      <c r="K5" s="58"/>
      <c r="P5" t="s">
        <v>104</v>
      </c>
    </row>
    <row r="6" spans="1:16" ht="15" customHeight="1" x14ac:dyDescent="0.25">
      <c r="A6" s="74">
        <v>46114</v>
      </c>
      <c r="B6" s="62">
        <v>1029</v>
      </c>
      <c r="C6" s="63" t="s">
        <v>108</v>
      </c>
      <c r="D6" s="62" t="s">
        <v>336</v>
      </c>
      <c r="E6" s="62"/>
      <c r="F6" s="64">
        <v>1550</v>
      </c>
      <c r="G6" s="62" t="s">
        <v>189</v>
      </c>
      <c r="H6" s="63" t="s">
        <v>337</v>
      </c>
      <c r="I6" s="108">
        <f t="shared" ref="I6:I37" si="0">IF(F6="","",IF(I5="",F6,I5+F6))</f>
        <v>2150</v>
      </c>
      <c r="J6" s="62"/>
      <c r="K6" s="63"/>
      <c r="P6" t="s">
        <v>307</v>
      </c>
    </row>
    <row r="7" spans="1:16" ht="15" customHeight="1" x14ac:dyDescent="0.25">
      <c r="A7" s="72">
        <v>46122</v>
      </c>
      <c r="B7" s="57">
        <v>1034</v>
      </c>
      <c r="C7" s="58" t="s">
        <v>305</v>
      </c>
      <c r="D7" s="57" t="s">
        <v>342</v>
      </c>
      <c r="E7" s="57" t="s">
        <v>347</v>
      </c>
      <c r="F7" s="59">
        <v>1000</v>
      </c>
      <c r="G7" s="57" t="s">
        <v>191</v>
      </c>
      <c r="H7" s="58" t="s">
        <v>337</v>
      </c>
      <c r="I7" s="107">
        <f>IF(F7="","",IF(I6="",F7,I6+F7))</f>
        <v>3150</v>
      </c>
      <c r="J7" s="57"/>
      <c r="K7" s="58"/>
      <c r="P7" t="s">
        <v>123</v>
      </c>
    </row>
    <row r="8" spans="1:16" ht="15" customHeight="1" x14ac:dyDescent="0.25">
      <c r="A8" s="74">
        <v>46127</v>
      </c>
      <c r="B8" s="62">
        <v>1037</v>
      </c>
      <c r="C8" s="63" t="s">
        <v>305</v>
      </c>
      <c r="D8" s="62" t="s">
        <v>342</v>
      </c>
      <c r="E8" s="62" t="s">
        <v>347</v>
      </c>
      <c r="F8" s="64">
        <v>2200</v>
      </c>
      <c r="G8" s="62" t="s">
        <v>191</v>
      </c>
      <c r="H8" s="63" t="s">
        <v>337</v>
      </c>
      <c r="I8" s="108">
        <f>IF(F8="","",IF(I7="",F8,I7+F8))</f>
        <v>5350</v>
      </c>
      <c r="J8" s="62"/>
      <c r="K8" s="63"/>
      <c r="P8" t="s">
        <v>309</v>
      </c>
    </row>
    <row r="9" spans="1:16" ht="15" customHeight="1" x14ac:dyDescent="0.25">
      <c r="A9" s="74">
        <v>46128</v>
      </c>
      <c r="B9" s="57">
        <v>1040</v>
      </c>
      <c r="C9" s="58" t="s">
        <v>303</v>
      </c>
      <c r="D9" s="57" t="s">
        <v>342</v>
      </c>
      <c r="E9" s="57" t="s">
        <v>347</v>
      </c>
      <c r="F9" s="59">
        <v>3000</v>
      </c>
      <c r="G9" s="57" t="s">
        <v>338</v>
      </c>
      <c r="H9" s="58" t="s">
        <v>337</v>
      </c>
      <c r="I9" s="107">
        <f>IF(F9="","",IF(I8="",F9,I8+F9))</f>
        <v>8350</v>
      </c>
      <c r="J9" s="57"/>
      <c r="K9" s="58"/>
    </row>
    <row r="10" spans="1:16" ht="15" customHeight="1" x14ac:dyDescent="0.25">
      <c r="A10" s="74">
        <v>46135</v>
      </c>
      <c r="B10" s="62">
        <v>1047</v>
      </c>
      <c r="C10" s="63" t="s">
        <v>104</v>
      </c>
      <c r="D10" s="62" t="s">
        <v>336</v>
      </c>
      <c r="E10" s="62" t="s">
        <v>196</v>
      </c>
      <c r="F10" s="64">
        <v>1722.5</v>
      </c>
      <c r="G10" s="62" t="s">
        <v>352</v>
      </c>
      <c r="H10" s="63" t="s">
        <v>343</v>
      </c>
      <c r="I10" s="108">
        <f>IF(F10="","",IF(I9="",F10,I9+F10))</f>
        <v>10072.5</v>
      </c>
      <c r="J10" s="62"/>
      <c r="K10" s="63"/>
    </row>
    <row r="11" spans="1:16" ht="15" customHeight="1" x14ac:dyDescent="0.25">
      <c r="A11" s="72">
        <v>46139</v>
      </c>
      <c r="B11" s="57">
        <v>1048</v>
      </c>
      <c r="C11" s="58" t="s">
        <v>309</v>
      </c>
      <c r="D11" s="57" t="s">
        <v>342</v>
      </c>
      <c r="E11" s="57" t="s">
        <v>197</v>
      </c>
      <c r="F11" s="59">
        <v>2000</v>
      </c>
      <c r="G11" s="57" t="s">
        <v>189</v>
      </c>
      <c r="H11" s="58" t="s">
        <v>343</v>
      </c>
      <c r="I11" s="108">
        <f>IF(F11="","",IF(I10="",F11,I10+F11))</f>
        <v>12072.5</v>
      </c>
      <c r="J11" s="57"/>
      <c r="K11" s="58"/>
    </row>
    <row r="12" spans="1:16" ht="15" customHeight="1" x14ac:dyDescent="0.25">
      <c r="A12" s="74">
        <v>46156</v>
      </c>
      <c r="B12" s="62">
        <v>1073</v>
      </c>
      <c r="C12" s="63" t="s">
        <v>307</v>
      </c>
      <c r="D12" s="62" t="s">
        <v>342</v>
      </c>
      <c r="E12" s="62" t="s">
        <v>199</v>
      </c>
      <c r="F12" s="64">
        <v>3050</v>
      </c>
      <c r="G12" s="62" t="s">
        <v>189</v>
      </c>
      <c r="H12" s="63" t="s">
        <v>337</v>
      </c>
      <c r="I12" s="108">
        <f t="shared" ref="I12:I17" si="1">IF(F12="","",IF(I11="",F12,I11+F12))</f>
        <v>15122.5</v>
      </c>
      <c r="J12" s="62"/>
      <c r="K12" s="63"/>
    </row>
    <row r="13" spans="1:16" ht="15" customHeight="1" x14ac:dyDescent="0.25">
      <c r="A13" s="72">
        <v>46174</v>
      </c>
      <c r="B13" s="57">
        <v>1096</v>
      </c>
      <c r="C13" s="58" t="s">
        <v>104</v>
      </c>
      <c r="D13" s="57" t="s">
        <v>342</v>
      </c>
      <c r="E13" s="57" t="s">
        <v>202</v>
      </c>
      <c r="F13" s="59">
        <v>1000</v>
      </c>
      <c r="G13" s="57" t="s">
        <v>338</v>
      </c>
      <c r="H13" s="58" t="s">
        <v>337</v>
      </c>
      <c r="I13" s="107">
        <f t="shared" si="1"/>
        <v>16122.5</v>
      </c>
      <c r="J13" s="57"/>
      <c r="K13" s="58"/>
    </row>
    <row r="14" spans="1:16" ht="15" customHeight="1" x14ac:dyDescent="0.25">
      <c r="A14" s="74">
        <v>46176</v>
      </c>
      <c r="B14" s="62">
        <v>1105</v>
      </c>
      <c r="C14" s="63" t="s">
        <v>309</v>
      </c>
      <c r="D14" s="62" t="s">
        <v>342</v>
      </c>
      <c r="E14" s="62" t="s">
        <v>202</v>
      </c>
      <c r="F14" s="64">
        <v>1200</v>
      </c>
      <c r="G14" s="62" t="s">
        <v>338</v>
      </c>
      <c r="H14" s="63" t="s">
        <v>337</v>
      </c>
      <c r="I14" s="108">
        <f t="shared" si="1"/>
        <v>17322.5</v>
      </c>
      <c r="J14" s="62"/>
      <c r="K14" s="63"/>
    </row>
    <row r="15" spans="1:16" ht="15" customHeight="1" x14ac:dyDescent="0.25">
      <c r="A15" s="72">
        <v>46183</v>
      </c>
      <c r="B15" s="57">
        <v>1112</v>
      </c>
      <c r="C15" s="58" t="s">
        <v>302</v>
      </c>
      <c r="D15" s="57" t="s">
        <v>342</v>
      </c>
      <c r="E15" s="57" t="s">
        <v>203</v>
      </c>
      <c r="F15" s="59">
        <v>2000</v>
      </c>
      <c r="G15" s="57" t="s">
        <v>338</v>
      </c>
      <c r="H15" s="58" t="s">
        <v>337</v>
      </c>
      <c r="I15" s="107">
        <f t="shared" si="1"/>
        <v>19322.5</v>
      </c>
      <c r="J15" s="57"/>
      <c r="K15" s="58"/>
    </row>
    <row r="16" spans="1:16" ht="15" customHeight="1" x14ac:dyDescent="0.25">
      <c r="A16" s="74" t="s">
        <v>361</v>
      </c>
      <c r="B16" s="62">
        <v>1126</v>
      </c>
      <c r="C16" s="63" t="s">
        <v>108</v>
      </c>
      <c r="D16" s="62" t="s">
        <v>342</v>
      </c>
      <c r="E16" s="62" t="s">
        <v>207</v>
      </c>
      <c r="F16" s="64">
        <v>2000</v>
      </c>
      <c r="G16" s="62" t="s">
        <v>189</v>
      </c>
      <c r="H16" s="63" t="s">
        <v>343</v>
      </c>
      <c r="I16" s="108">
        <f t="shared" si="1"/>
        <v>21322.5</v>
      </c>
      <c r="J16" s="62"/>
      <c r="K16" s="63"/>
    </row>
    <row r="17" spans="1:11" ht="15" customHeight="1" x14ac:dyDescent="0.25">
      <c r="A17" s="72">
        <v>46210</v>
      </c>
      <c r="B17" s="57">
        <v>1129</v>
      </c>
      <c r="C17" s="58" t="s">
        <v>303</v>
      </c>
      <c r="D17" s="57" t="s">
        <v>342</v>
      </c>
      <c r="E17" s="57" t="s">
        <v>207</v>
      </c>
      <c r="F17" s="59">
        <v>200</v>
      </c>
      <c r="G17" s="57" t="s">
        <v>189</v>
      </c>
      <c r="H17" s="58" t="s">
        <v>343</v>
      </c>
      <c r="I17" s="107">
        <f t="shared" si="1"/>
        <v>21522.5</v>
      </c>
      <c r="J17" s="57"/>
      <c r="K17" s="58"/>
    </row>
    <row r="18" spans="1:11" ht="15" customHeight="1" x14ac:dyDescent="0.25">
      <c r="A18" s="74" t="s">
        <v>395</v>
      </c>
      <c r="B18" s="62">
        <v>1141</v>
      </c>
      <c r="C18" s="63" t="s">
        <v>108</v>
      </c>
      <c r="D18" s="62" t="s">
        <v>342</v>
      </c>
      <c r="E18" s="62" t="s">
        <v>209</v>
      </c>
      <c r="F18" s="64">
        <v>1200</v>
      </c>
      <c r="G18" s="62" t="s">
        <v>189</v>
      </c>
      <c r="H18" s="63" t="s">
        <v>337</v>
      </c>
      <c r="I18" s="108">
        <f t="shared" si="0"/>
        <v>22722.5</v>
      </c>
      <c r="J18" s="62"/>
      <c r="K18" s="63"/>
    </row>
    <row r="19" spans="1:11" ht="15" customHeight="1" x14ac:dyDescent="0.25">
      <c r="A19" s="72">
        <v>46220</v>
      </c>
      <c r="B19" s="57">
        <v>1144</v>
      </c>
      <c r="C19" s="58" t="s">
        <v>302</v>
      </c>
      <c r="D19" s="57" t="s">
        <v>342</v>
      </c>
      <c r="E19" s="57" t="s">
        <v>209</v>
      </c>
      <c r="F19" s="59">
        <v>1200</v>
      </c>
      <c r="G19" s="57" t="s">
        <v>338</v>
      </c>
      <c r="H19" s="58" t="s">
        <v>343</v>
      </c>
      <c r="I19" s="107">
        <f t="shared" si="0"/>
        <v>23922.5</v>
      </c>
      <c r="J19" s="57"/>
      <c r="K19" s="58"/>
    </row>
    <row r="20" spans="1:11" ht="15" customHeight="1" x14ac:dyDescent="0.25">
      <c r="A20" s="74">
        <v>46223</v>
      </c>
      <c r="B20" s="62">
        <v>1145</v>
      </c>
      <c r="C20" s="63" t="s">
        <v>104</v>
      </c>
      <c r="D20" s="62" t="s">
        <v>342</v>
      </c>
      <c r="E20" s="62" t="s">
        <v>210</v>
      </c>
      <c r="F20" s="64">
        <v>900</v>
      </c>
      <c r="G20" s="62" t="s">
        <v>189</v>
      </c>
      <c r="H20" s="63" t="s">
        <v>343</v>
      </c>
      <c r="I20" s="108">
        <f t="shared" si="0"/>
        <v>24822.5</v>
      </c>
      <c r="J20" s="62"/>
      <c r="K20" s="63"/>
    </row>
    <row r="21" spans="1:11" ht="15" customHeight="1" x14ac:dyDescent="0.25">
      <c r="A21" s="72"/>
      <c r="B21" s="57"/>
      <c r="C21" s="58"/>
      <c r="D21" s="57"/>
      <c r="E21" s="57"/>
      <c r="F21" s="59"/>
      <c r="G21" s="57"/>
      <c r="H21" s="58"/>
      <c r="I21" s="107" t="str">
        <f t="shared" si="0"/>
        <v/>
      </c>
      <c r="J21" s="57"/>
      <c r="K21" s="58"/>
    </row>
    <row r="22" spans="1:11" ht="15" customHeight="1" x14ac:dyDescent="0.25">
      <c r="A22" s="74"/>
      <c r="B22" s="62"/>
      <c r="C22" s="63"/>
      <c r="D22" s="62"/>
      <c r="E22" s="62"/>
      <c r="F22" s="64"/>
      <c r="G22" s="62"/>
      <c r="H22" s="63"/>
      <c r="I22" s="108" t="str">
        <f t="shared" si="0"/>
        <v/>
      </c>
      <c r="J22" s="62"/>
      <c r="K22" s="63"/>
    </row>
    <row r="23" spans="1:11" ht="15" customHeight="1" x14ac:dyDescent="0.25">
      <c r="A23" s="72"/>
      <c r="B23" s="57"/>
      <c r="C23" s="58"/>
      <c r="D23" s="57"/>
      <c r="E23" s="57"/>
      <c r="F23" s="59"/>
      <c r="G23" s="57"/>
      <c r="H23" s="58"/>
      <c r="I23" s="107" t="str">
        <f t="shared" si="0"/>
        <v/>
      </c>
      <c r="J23" s="57"/>
      <c r="K23" s="58"/>
    </row>
    <row r="24" spans="1:11" ht="15" customHeight="1" x14ac:dyDescent="0.25">
      <c r="A24" s="74"/>
      <c r="B24" s="62"/>
      <c r="C24" s="63"/>
      <c r="D24" s="62"/>
      <c r="E24" s="62"/>
      <c r="F24" s="64"/>
      <c r="G24" s="62"/>
      <c r="H24" s="63"/>
      <c r="I24" s="108" t="str">
        <f t="shared" si="0"/>
        <v/>
      </c>
      <c r="J24" s="62"/>
      <c r="K24" s="63"/>
    </row>
    <row r="25" spans="1:11" ht="15" customHeight="1" x14ac:dyDescent="0.25">
      <c r="A25" s="72"/>
      <c r="B25" s="57"/>
      <c r="C25" s="58"/>
      <c r="D25" s="57"/>
      <c r="E25" s="57"/>
      <c r="F25" s="59"/>
      <c r="G25" s="57"/>
      <c r="H25" s="58"/>
      <c r="I25" s="107" t="str">
        <f t="shared" si="0"/>
        <v/>
      </c>
      <c r="J25" s="57"/>
      <c r="K25" s="58"/>
    </row>
    <row r="26" spans="1:11" ht="15" customHeight="1" x14ac:dyDescent="0.25">
      <c r="A26" s="74"/>
      <c r="B26" s="62"/>
      <c r="C26" s="63"/>
      <c r="D26" s="62"/>
      <c r="E26" s="62"/>
      <c r="F26" s="64"/>
      <c r="G26" s="62"/>
      <c r="H26" s="63"/>
      <c r="I26" s="108" t="str">
        <f t="shared" si="0"/>
        <v/>
      </c>
      <c r="J26" s="62"/>
      <c r="K26" s="63"/>
    </row>
    <row r="27" spans="1:11" ht="15" customHeight="1" x14ac:dyDescent="0.25">
      <c r="A27" s="72"/>
      <c r="B27" s="57"/>
      <c r="C27" s="58"/>
      <c r="D27" s="57"/>
      <c r="E27" s="57"/>
      <c r="F27" s="59"/>
      <c r="G27" s="57"/>
      <c r="H27" s="58"/>
      <c r="I27" s="107" t="str">
        <f t="shared" si="0"/>
        <v/>
      </c>
      <c r="J27" s="57"/>
      <c r="K27" s="58"/>
    </row>
    <row r="28" spans="1:11" ht="15" customHeight="1" x14ac:dyDescent="0.25">
      <c r="A28" s="74"/>
      <c r="B28" s="62"/>
      <c r="C28" s="63"/>
      <c r="D28" s="62"/>
      <c r="E28" s="62"/>
      <c r="F28" s="64"/>
      <c r="G28" s="62"/>
      <c r="H28" s="63"/>
      <c r="I28" s="108" t="str">
        <f t="shared" si="0"/>
        <v/>
      </c>
      <c r="J28" s="62"/>
      <c r="K28" s="63"/>
    </row>
    <row r="29" spans="1:11" ht="15" customHeight="1" x14ac:dyDescent="0.25">
      <c r="A29" s="72"/>
      <c r="B29" s="57"/>
      <c r="C29" s="58"/>
      <c r="D29" s="57"/>
      <c r="E29" s="57"/>
      <c r="F29" s="59"/>
      <c r="G29" s="57"/>
      <c r="H29" s="58"/>
      <c r="I29" s="107" t="str">
        <f t="shared" si="0"/>
        <v/>
      </c>
      <c r="J29" s="57"/>
      <c r="K29" s="58"/>
    </row>
    <row r="30" spans="1:11" ht="15" customHeight="1" x14ac:dyDescent="0.25">
      <c r="A30" s="74"/>
      <c r="B30" s="62"/>
      <c r="C30" s="63"/>
      <c r="D30" s="62"/>
      <c r="E30" s="62"/>
      <c r="F30" s="64"/>
      <c r="G30" s="62"/>
      <c r="H30" s="63"/>
      <c r="I30" s="108" t="str">
        <f t="shared" si="0"/>
        <v/>
      </c>
      <c r="J30" s="62"/>
      <c r="K30" s="63"/>
    </row>
    <row r="31" spans="1:11" ht="15" customHeight="1" x14ac:dyDescent="0.25">
      <c r="A31" s="72"/>
      <c r="B31" s="57"/>
      <c r="C31" s="58"/>
      <c r="D31" s="57"/>
      <c r="E31" s="57"/>
      <c r="F31" s="59"/>
      <c r="G31" s="57"/>
      <c r="H31" s="58"/>
      <c r="I31" s="107" t="str">
        <f t="shared" si="0"/>
        <v/>
      </c>
      <c r="J31" s="57"/>
      <c r="K31" s="58"/>
    </row>
    <row r="32" spans="1:11" ht="15" customHeight="1" x14ac:dyDescent="0.25">
      <c r="A32" s="74"/>
      <c r="B32" s="62"/>
      <c r="C32" s="63"/>
      <c r="D32" s="62"/>
      <c r="E32" s="62"/>
      <c r="F32" s="64"/>
      <c r="G32" s="62"/>
      <c r="H32" s="63"/>
      <c r="I32" s="108" t="str">
        <f t="shared" si="0"/>
        <v/>
      </c>
      <c r="J32" s="62"/>
      <c r="K32" s="63"/>
    </row>
    <row r="33" spans="1:11" ht="15" customHeight="1" x14ac:dyDescent="0.25">
      <c r="A33" s="72"/>
      <c r="B33" s="57"/>
      <c r="C33" s="58"/>
      <c r="D33" s="57"/>
      <c r="E33" s="57"/>
      <c r="F33" s="59"/>
      <c r="G33" s="57"/>
      <c r="H33" s="58"/>
      <c r="I33" s="107" t="str">
        <f t="shared" si="0"/>
        <v/>
      </c>
      <c r="J33" s="57"/>
      <c r="K33" s="58"/>
    </row>
    <row r="34" spans="1:11" ht="15" customHeight="1" x14ac:dyDescent="0.25">
      <c r="A34" s="74"/>
      <c r="B34" s="62"/>
      <c r="C34" s="63"/>
      <c r="D34" s="62"/>
      <c r="E34" s="62"/>
      <c r="F34" s="64"/>
      <c r="G34" s="62"/>
      <c r="H34" s="63"/>
      <c r="I34" s="108" t="str">
        <f t="shared" si="0"/>
        <v/>
      </c>
      <c r="J34" s="62"/>
      <c r="K34" s="63"/>
    </row>
    <row r="35" spans="1:11" ht="15" customHeight="1" x14ac:dyDescent="0.25">
      <c r="A35" s="72"/>
      <c r="B35" s="57"/>
      <c r="C35" s="58"/>
      <c r="D35" s="57"/>
      <c r="E35" s="57"/>
      <c r="F35" s="59"/>
      <c r="G35" s="57"/>
      <c r="H35" s="58"/>
      <c r="I35" s="107" t="str">
        <f t="shared" si="0"/>
        <v/>
      </c>
      <c r="J35" s="57"/>
      <c r="K35" s="58"/>
    </row>
    <row r="36" spans="1:11" ht="15" customHeight="1" x14ac:dyDescent="0.25">
      <c r="A36" s="74"/>
      <c r="B36" s="62"/>
      <c r="C36" s="63"/>
      <c r="D36" s="62"/>
      <c r="E36" s="62"/>
      <c r="F36" s="64"/>
      <c r="G36" s="62"/>
      <c r="H36" s="63"/>
      <c r="I36" s="108" t="str">
        <f t="shared" si="0"/>
        <v/>
      </c>
      <c r="J36" s="62"/>
      <c r="K36" s="63"/>
    </row>
    <row r="37" spans="1:11" ht="15" customHeight="1" x14ac:dyDescent="0.25">
      <c r="A37" s="72"/>
      <c r="B37" s="57"/>
      <c r="C37" s="58"/>
      <c r="D37" s="57"/>
      <c r="E37" s="57"/>
      <c r="F37" s="59"/>
      <c r="G37" s="57"/>
      <c r="H37" s="58"/>
      <c r="I37" s="107" t="str">
        <f t="shared" si="0"/>
        <v/>
      </c>
      <c r="J37" s="57"/>
      <c r="K37" s="58"/>
    </row>
    <row r="38" spans="1:11" ht="15" customHeight="1" x14ac:dyDescent="0.25">
      <c r="A38" s="74"/>
      <c r="B38" s="62"/>
      <c r="C38" s="63"/>
      <c r="D38" s="62"/>
      <c r="E38" s="62"/>
      <c r="F38" s="64"/>
      <c r="G38" s="62"/>
      <c r="H38" s="63"/>
      <c r="I38" s="108" t="str">
        <f t="shared" ref="I38:I69" si="2">IF(F38="","",IF(I37="",F38,I37+F38))</f>
        <v/>
      </c>
      <c r="J38" s="62"/>
      <c r="K38" s="63"/>
    </row>
    <row r="39" spans="1:11" ht="15" customHeight="1" x14ac:dyDescent="0.25">
      <c r="A39" s="72"/>
      <c r="B39" s="57"/>
      <c r="C39" s="58"/>
      <c r="D39" s="57"/>
      <c r="E39" s="57"/>
      <c r="F39" s="59"/>
      <c r="G39" s="57"/>
      <c r="H39" s="58"/>
      <c r="I39" s="107" t="str">
        <f t="shared" si="2"/>
        <v/>
      </c>
      <c r="J39" s="57"/>
      <c r="K39" s="58"/>
    </row>
    <row r="40" spans="1:11" ht="15" customHeight="1" x14ac:dyDescent="0.25">
      <c r="A40" s="74"/>
      <c r="B40" s="62"/>
      <c r="C40" s="63"/>
      <c r="D40" s="62"/>
      <c r="E40" s="62"/>
      <c r="F40" s="64"/>
      <c r="G40" s="62"/>
      <c r="H40" s="63"/>
      <c r="I40" s="108" t="str">
        <f t="shared" si="2"/>
        <v/>
      </c>
      <c r="J40" s="62"/>
      <c r="K40" s="63"/>
    </row>
    <row r="41" spans="1:11" ht="15" customHeight="1" x14ac:dyDescent="0.25">
      <c r="A41" s="72"/>
      <c r="B41" s="57"/>
      <c r="C41" s="58"/>
      <c r="D41" s="57"/>
      <c r="E41" s="57"/>
      <c r="F41" s="59"/>
      <c r="G41" s="57"/>
      <c r="H41" s="58"/>
      <c r="I41" s="107" t="str">
        <f t="shared" si="2"/>
        <v/>
      </c>
      <c r="J41" s="57"/>
      <c r="K41" s="58"/>
    </row>
    <row r="42" spans="1:11" ht="15" customHeight="1" x14ac:dyDescent="0.25">
      <c r="A42" s="74"/>
      <c r="B42" s="62"/>
      <c r="C42" s="63"/>
      <c r="D42" s="62"/>
      <c r="E42" s="62"/>
      <c r="F42" s="64"/>
      <c r="G42" s="62"/>
      <c r="H42" s="63"/>
      <c r="I42" s="108" t="str">
        <f t="shared" si="2"/>
        <v/>
      </c>
      <c r="J42" s="62"/>
      <c r="K42" s="63"/>
    </row>
    <row r="43" spans="1:11" ht="15" customHeight="1" x14ac:dyDescent="0.25">
      <c r="A43" s="72"/>
      <c r="B43" s="57"/>
      <c r="C43" s="58"/>
      <c r="D43" s="57"/>
      <c r="E43" s="57"/>
      <c r="F43" s="59"/>
      <c r="G43" s="57"/>
      <c r="H43" s="58"/>
      <c r="I43" s="107" t="str">
        <f t="shared" si="2"/>
        <v/>
      </c>
      <c r="J43" s="57"/>
      <c r="K43" s="58"/>
    </row>
    <row r="44" spans="1:11" ht="15" customHeight="1" x14ac:dyDescent="0.25">
      <c r="A44" s="74"/>
      <c r="B44" s="62"/>
      <c r="C44" s="63"/>
      <c r="D44" s="62"/>
      <c r="E44" s="62"/>
      <c r="F44" s="64"/>
      <c r="G44" s="62"/>
      <c r="H44" s="63"/>
      <c r="I44" s="108" t="str">
        <f t="shared" si="2"/>
        <v/>
      </c>
      <c r="J44" s="62"/>
      <c r="K44" s="63"/>
    </row>
    <row r="45" spans="1:11" ht="15" customHeight="1" x14ac:dyDescent="0.25">
      <c r="A45" s="72"/>
      <c r="B45" s="57"/>
      <c r="C45" s="58"/>
      <c r="D45" s="57"/>
      <c r="E45" s="57"/>
      <c r="F45" s="59"/>
      <c r="G45" s="57"/>
      <c r="H45" s="58"/>
      <c r="I45" s="107" t="str">
        <f t="shared" si="2"/>
        <v/>
      </c>
      <c r="J45" s="57"/>
      <c r="K45" s="58"/>
    </row>
    <row r="46" spans="1:11" ht="15" customHeight="1" x14ac:dyDescent="0.25">
      <c r="A46" s="74"/>
      <c r="B46" s="62"/>
      <c r="C46" s="63"/>
      <c r="D46" s="62"/>
      <c r="E46" s="62"/>
      <c r="F46" s="64"/>
      <c r="G46" s="62"/>
      <c r="H46" s="63"/>
      <c r="I46" s="108" t="str">
        <f t="shared" si="2"/>
        <v/>
      </c>
      <c r="J46" s="62"/>
      <c r="K46" s="63"/>
    </row>
    <row r="47" spans="1:11" ht="15" customHeight="1" x14ac:dyDescent="0.25">
      <c r="A47" s="72"/>
      <c r="B47" s="57"/>
      <c r="C47" s="58"/>
      <c r="D47" s="57"/>
      <c r="E47" s="57"/>
      <c r="F47" s="59"/>
      <c r="G47" s="57"/>
      <c r="H47" s="58"/>
      <c r="I47" s="107" t="str">
        <f t="shared" si="2"/>
        <v/>
      </c>
      <c r="J47" s="57"/>
      <c r="K47" s="58"/>
    </row>
    <row r="48" spans="1:11" ht="15" customHeight="1" x14ac:dyDescent="0.25">
      <c r="A48" s="74"/>
      <c r="B48" s="62"/>
      <c r="C48" s="63"/>
      <c r="D48" s="62"/>
      <c r="E48" s="62"/>
      <c r="F48" s="64"/>
      <c r="G48" s="62"/>
      <c r="H48" s="63"/>
      <c r="I48" s="108" t="str">
        <f t="shared" si="2"/>
        <v/>
      </c>
      <c r="J48" s="62"/>
      <c r="K48" s="63"/>
    </row>
    <row r="49" spans="1:11" ht="15" customHeight="1" x14ac:dyDescent="0.25">
      <c r="A49" s="72"/>
      <c r="B49" s="57"/>
      <c r="C49" s="58"/>
      <c r="D49" s="57"/>
      <c r="E49" s="57"/>
      <c r="F49" s="59"/>
      <c r="G49" s="57"/>
      <c r="H49" s="58"/>
      <c r="I49" s="107" t="str">
        <f t="shared" si="2"/>
        <v/>
      </c>
      <c r="J49" s="57"/>
      <c r="K49" s="58"/>
    </row>
    <row r="50" spans="1:11" ht="15" customHeight="1" x14ac:dyDescent="0.25">
      <c r="A50" s="74"/>
      <c r="B50" s="62"/>
      <c r="C50" s="63"/>
      <c r="D50" s="62"/>
      <c r="E50" s="62"/>
      <c r="F50" s="64"/>
      <c r="G50" s="62"/>
      <c r="H50" s="63"/>
      <c r="I50" s="108" t="str">
        <f t="shared" si="2"/>
        <v/>
      </c>
      <c r="J50" s="62"/>
      <c r="K50" s="63"/>
    </row>
    <row r="51" spans="1:11" ht="15" customHeight="1" x14ac:dyDescent="0.25">
      <c r="A51" s="72"/>
      <c r="B51" s="57"/>
      <c r="C51" s="58"/>
      <c r="D51" s="57"/>
      <c r="E51" s="57"/>
      <c r="F51" s="59"/>
      <c r="G51" s="57"/>
      <c r="H51" s="58"/>
      <c r="I51" s="107" t="str">
        <f t="shared" si="2"/>
        <v/>
      </c>
      <c r="J51" s="57"/>
      <c r="K51" s="58"/>
    </row>
    <row r="52" spans="1:11" ht="15" customHeight="1" x14ac:dyDescent="0.25">
      <c r="A52" s="74"/>
      <c r="B52" s="62"/>
      <c r="C52" s="63"/>
      <c r="D52" s="62"/>
      <c r="E52" s="62"/>
      <c r="F52" s="64"/>
      <c r="G52" s="62"/>
      <c r="H52" s="63"/>
      <c r="I52" s="108" t="str">
        <f t="shared" si="2"/>
        <v/>
      </c>
      <c r="J52" s="62"/>
      <c r="K52" s="63"/>
    </row>
    <row r="53" spans="1:11" ht="15" customHeight="1" x14ac:dyDescent="0.25">
      <c r="A53" s="72"/>
      <c r="B53" s="57"/>
      <c r="C53" s="58"/>
      <c r="D53" s="57"/>
      <c r="E53" s="57"/>
      <c r="F53" s="59"/>
      <c r="G53" s="57"/>
      <c r="H53" s="58"/>
      <c r="I53" s="107" t="str">
        <f t="shared" si="2"/>
        <v/>
      </c>
      <c r="J53" s="57"/>
      <c r="K53" s="58"/>
    </row>
    <row r="54" spans="1:11" ht="15" customHeight="1" x14ac:dyDescent="0.25">
      <c r="A54" s="74"/>
      <c r="B54" s="62"/>
      <c r="C54" s="63"/>
      <c r="D54" s="62"/>
      <c r="E54" s="62"/>
      <c r="F54" s="64"/>
      <c r="G54" s="62"/>
      <c r="H54" s="63"/>
      <c r="I54" s="108" t="str">
        <f t="shared" si="2"/>
        <v/>
      </c>
      <c r="J54" s="62"/>
      <c r="K54" s="63"/>
    </row>
    <row r="55" spans="1:11" ht="15" customHeight="1" x14ac:dyDescent="0.25">
      <c r="A55" s="72"/>
      <c r="B55" s="57"/>
      <c r="C55" s="58"/>
      <c r="D55" s="57"/>
      <c r="E55" s="57"/>
      <c r="F55" s="59"/>
      <c r="G55" s="57"/>
      <c r="H55" s="58"/>
      <c r="I55" s="107" t="str">
        <f t="shared" si="2"/>
        <v/>
      </c>
      <c r="J55" s="57"/>
      <c r="K55" s="58"/>
    </row>
    <row r="56" spans="1:11" ht="15" customHeight="1" x14ac:dyDescent="0.25">
      <c r="A56" s="74"/>
      <c r="B56" s="62"/>
      <c r="C56" s="63"/>
      <c r="D56" s="62"/>
      <c r="E56" s="62"/>
      <c r="F56" s="64"/>
      <c r="G56" s="62"/>
      <c r="H56" s="63"/>
      <c r="I56" s="108" t="str">
        <f t="shared" si="2"/>
        <v/>
      </c>
      <c r="J56" s="62"/>
      <c r="K56" s="63"/>
    </row>
    <row r="57" spans="1:11" ht="15" customHeight="1" x14ac:dyDescent="0.25">
      <c r="A57" s="72"/>
      <c r="B57" s="57"/>
      <c r="C57" s="58"/>
      <c r="D57" s="57"/>
      <c r="E57" s="57"/>
      <c r="F57" s="59"/>
      <c r="G57" s="57"/>
      <c r="H57" s="58"/>
      <c r="I57" s="107" t="str">
        <f t="shared" si="2"/>
        <v/>
      </c>
      <c r="J57" s="57"/>
      <c r="K57" s="58"/>
    </row>
    <row r="58" spans="1:11" ht="15" customHeight="1" x14ac:dyDescent="0.25">
      <c r="A58" s="74"/>
      <c r="B58" s="62"/>
      <c r="C58" s="63"/>
      <c r="D58" s="62"/>
      <c r="E58" s="62"/>
      <c r="F58" s="64"/>
      <c r="G58" s="62"/>
      <c r="H58" s="63"/>
      <c r="I58" s="108" t="str">
        <f t="shared" si="2"/>
        <v/>
      </c>
      <c r="J58" s="62"/>
      <c r="K58" s="63"/>
    </row>
    <row r="59" spans="1:11" ht="15" customHeight="1" x14ac:dyDescent="0.25">
      <c r="A59" s="72"/>
      <c r="B59" s="57"/>
      <c r="C59" s="58"/>
      <c r="D59" s="57"/>
      <c r="E59" s="57"/>
      <c r="F59" s="59"/>
      <c r="G59" s="57"/>
      <c r="H59" s="58"/>
      <c r="I59" s="107" t="str">
        <f t="shared" si="2"/>
        <v/>
      </c>
      <c r="J59" s="57"/>
      <c r="K59" s="58"/>
    </row>
    <row r="60" spans="1:11" ht="15" customHeight="1" x14ac:dyDescent="0.25">
      <c r="A60" s="74"/>
      <c r="B60" s="62"/>
      <c r="C60" s="63"/>
      <c r="D60" s="62"/>
      <c r="E60" s="62"/>
      <c r="F60" s="64"/>
      <c r="G60" s="62"/>
      <c r="H60" s="63"/>
      <c r="I60" s="108" t="str">
        <f t="shared" si="2"/>
        <v/>
      </c>
      <c r="J60" s="62"/>
      <c r="K60" s="63"/>
    </row>
    <row r="61" spans="1:11" ht="15" customHeight="1" x14ac:dyDescent="0.25">
      <c r="A61" s="72"/>
      <c r="B61" s="57"/>
      <c r="C61" s="58"/>
      <c r="D61" s="57"/>
      <c r="E61" s="57"/>
      <c r="F61" s="59"/>
      <c r="G61" s="57"/>
      <c r="H61" s="58"/>
      <c r="I61" s="107" t="str">
        <f t="shared" si="2"/>
        <v/>
      </c>
      <c r="J61" s="57"/>
      <c r="K61" s="58"/>
    </row>
    <row r="62" spans="1:11" ht="15" customHeight="1" x14ac:dyDescent="0.25">
      <c r="A62" s="74"/>
      <c r="B62" s="62"/>
      <c r="C62" s="63"/>
      <c r="D62" s="62"/>
      <c r="E62" s="62"/>
      <c r="F62" s="64"/>
      <c r="G62" s="62"/>
      <c r="H62" s="63"/>
      <c r="I62" s="108" t="str">
        <f t="shared" si="2"/>
        <v/>
      </c>
      <c r="J62" s="62"/>
      <c r="K62" s="63"/>
    </row>
    <row r="63" spans="1:11" ht="15" customHeight="1" x14ac:dyDescent="0.25">
      <c r="A63" s="72"/>
      <c r="B63" s="57"/>
      <c r="C63" s="58"/>
      <c r="D63" s="57"/>
      <c r="E63" s="57"/>
      <c r="F63" s="59"/>
      <c r="G63" s="57"/>
      <c r="H63" s="58"/>
      <c r="I63" s="107" t="str">
        <f t="shared" si="2"/>
        <v/>
      </c>
      <c r="J63" s="57"/>
      <c r="K63" s="58"/>
    </row>
    <row r="64" spans="1:11" ht="15" customHeight="1" x14ac:dyDescent="0.25">
      <c r="A64" s="74"/>
      <c r="B64" s="62"/>
      <c r="C64" s="63"/>
      <c r="D64" s="62"/>
      <c r="E64" s="62"/>
      <c r="F64" s="64"/>
      <c r="G64" s="62"/>
      <c r="H64" s="63"/>
      <c r="I64" s="108" t="str">
        <f t="shared" si="2"/>
        <v/>
      </c>
      <c r="J64" s="62"/>
      <c r="K64" s="63"/>
    </row>
    <row r="65" spans="1:11" ht="15" customHeight="1" x14ac:dyDescent="0.25">
      <c r="A65" s="72"/>
      <c r="B65" s="57"/>
      <c r="C65" s="58"/>
      <c r="D65" s="57"/>
      <c r="E65" s="57"/>
      <c r="F65" s="59"/>
      <c r="G65" s="57"/>
      <c r="H65" s="58"/>
      <c r="I65" s="107" t="str">
        <f t="shared" si="2"/>
        <v/>
      </c>
      <c r="J65" s="57"/>
      <c r="K65" s="58"/>
    </row>
    <row r="66" spans="1:11" ht="15" customHeight="1" x14ac:dyDescent="0.25">
      <c r="A66" s="74"/>
      <c r="B66" s="62"/>
      <c r="C66" s="63"/>
      <c r="D66" s="62"/>
      <c r="E66" s="62"/>
      <c r="F66" s="64"/>
      <c r="G66" s="62"/>
      <c r="H66" s="63"/>
      <c r="I66" s="108" t="str">
        <f t="shared" si="2"/>
        <v/>
      </c>
      <c r="J66" s="62"/>
      <c r="K66" s="63"/>
    </row>
    <row r="67" spans="1:11" ht="15" customHeight="1" x14ac:dyDescent="0.25">
      <c r="A67" s="72"/>
      <c r="B67" s="57"/>
      <c r="C67" s="58"/>
      <c r="D67" s="57"/>
      <c r="E67" s="57"/>
      <c r="F67" s="59"/>
      <c r="G67" s="57"/>
      <c r="H67" s="58"/>
      <c r="I67" s="107" t="str">
        <f t="shared" si="2"/>
        <v/>
      </c>
      <c r="J67" s="57"/>
      <c r="K67" s="58"/>
    </row>
    <row r="68" spans="1:11" ht="15" customHeight="1" x14ac:dyDescent="0.25">
      <c r="A68" s="74"/>
      <c r="B68" s="62"/>
      <c r="C68" s="63"/>
      <c r="D68" s="62"/>
      <c r="E68" s="62"/>
      <c r="F68" s="64"/>
      <c r="G68" s="62"/>
      <c r="H68" s="63"/>
      <c r="I68" s="108" t="str">
        <f t="shared" si="2"/>
        <v/>
      </c>
      <c r="J68" s="62"/>
      <c r="K68" s="63"/>
    </row>
    <row r="69" spans="1:11" ht="15" customHeight="1" x14ac:dyDescent="0.25">
      <c r="A69" s="72"/>
      <c r="B69" s="57"/>
      <c r="C69" s="58"/>
      <c r="D69" s="57"/>
      <c r="E69" s="57"/>
      <c r="F69" s="59"/>
      <c r="G69" s="57"/>
      <c r="H69" s="58"/>
      <c r="I69" s="107" t="str">
        <f t="shared" si="2"/>
        <v/>
      </c>
      <c r="J69" s="57"/>
      <c r="K69" s="58"/>
    </row>
    <row r="70" spans="1:11" ht="15" customHeight="1" x14ac:dyDescent="0.25">
      <c r="A70" s="74"/>
      <c r="B70" s="62"/>
      <c r="C70" s="63"/>
      <c r="D70" s="62"/>
      <c r="E70" s="62"/>
      <c r="F70" s="64"/>
      <c r="G70" s="62"/>
      <c r="H70" s="63"/>
      <c r="I70" s="108" t="str">
        <f t="shared" ref="I70:I101" si="3">IF(F70="","",IF(I69="",F70,I69+F70))</f>
        <v/>
      </c>
      <c r="J70" s="62"/>
      <c r="K70" s="63"/>
    </row>
    <row r="71" spans="1:11" ht="15" customHeight="1" x14ac:dyDescent="0.25">
      <c r="A71" s="72"/>
      <c r="B71" s="57"/>
      <c r="C71" s="58"/>
      <c r="D71" s="57"/>
      <c r="E71" s="57"/>
      <c r="F71" s="59"/>
      <c r="G71" s="57"/>
      <c r="H71" s="58"/>
      <c r="I71" s="107" t="str">
        <f t="shared" si="3"/>
        <v/>
      </c>
      <c r="J71" s="57"/>
      <c r="K71" s="58"/>
    </row>
    <row r="72" spans="1:11" ht="15" customHeight="1" x14ac:dyDescent="0.25">
      <c r="A72" s="74"/>
      <c r="B72" s="62"/>
      <c r="C72" s="63"/>
      <c r="D72" s="62"/>
      <c r="E72" s="62"/>
      <c r="F72" s="64"/>
      <c r="G72" s="62"/>
      <c r="H72" s="63"/>
      <c r="I72" s="108" t="str">
        <f t="shared" si="3"/>
        <v/>
      </c>
      <c r="J72" s="62"/>
      <c r="K72" s="63"/>
    </row>
    <row r="73" spans="1:11" ht="15" customHeight="1" x14ac:dyDescent="0.25">
      <c r="A73" s="72"/>
      <c r="B73" s="57"/>
      <c r="C73" s="58"/>
      <c r="D73" s="57"/>
      <c r="E73" s="57"/>
      <c r="F73" s="59"/>
      <c r="G73" s="57"/>
      <c r="H73" s="58"/>
      <c r="I73" s="107" t="str">
        <f t="shared" si="3"/>
        <v/>
      </c>
      <c r="J73" s="57"/>
      <c r="K73" s="58"/>
    </row>
    <row r="74" spans="1:11" ht="15" customHeight="1" x14ac:dyDescent="0.25">
      <c r="A74" s="74"/>
      <c r="B74" s="62"/>
      <c r="C74" s="63"/>
      <c r="D74" s="62"/>
      <c r="E74" s="62"/>
      <c r="F74" s="64"/>
      <c r="G74" s="62"/>
      <c r="H74" s="63"/>
      <c r="I74" s="108" t="str">
        <f t="shared" si="3"/>
        <v/>
      </c>
      <c r="J74" s="62"/>
      <c r="K74" s="63"/>
    </row>
    <row r="75" spans="1:11" ht="15" customHeight="1" x14ac:dyDescent="0.25">
      <c r="A75" s="72"/>
      <c r="B75" s="57"/>
      <c r="C75" s="58"/>
      <c r="D75" s="57"/>
      <c r="E75" s="57"/>
      <c r="F75" s="59"/>
      <c r="G75" s="57"/>
      <c r="H75" s="58"/>
      <c r="I75" s="107" t="str">
        <f t="shared" si="3"/>
        <v/>
      </c>
      <c r="J75" s="57"/>
      <c r="K75" s="58"/>
    </row>
    <row r="76" spans="1:11" ht="15" customHeight="1" x14ac:dyDescent="0.25">
      <c r="A76" s="74"/>
      <c r="B76" s="62"/>
      <c r="C76" s="63"/>
      <c r="D76" s="62"/>
      <c r="E76" s="62"/>
      <c r="F76" s="64"/>
      <c r="G76" s="62"/>
      <c r="H76" s="63"/>
      <c r="I76" s="108" t="str">
        <f t="shared" si="3"/>
        <v/>
      </c>
      <c r="J76" s="62"/>
      <c r="K76" s="63"/>
    </row>
    <row r="77" spans="1:11" ht="15" customHeight="1" x14ac:dyDescent="0.25">
      <c r="A77" s="72"/>
      <c r="B77" s="57"/>
      <c r="C77" s="58"/>
      <c r="D77" s="57"/>
      <c r="E77" s="57"/>
      <c r="F77" s="59"/>
      <c r="G77" s="57"/>
      <c r="H77" s="58"/>
      <c r="I77" s="107" t="str">
        <f t="shared" si="3"/>
        <v/>
      </c>
      <c r="J77" s="57"/>
      <c r="K77" s="58"/>
    </row>
    <row r="78" spans="1:11" ht="15" customHeight="1" x14ac:dyDescent="0.25">
      <c r="A78" s="74"/>
      <c r="B78" s="62"/>
      <c r="C78" s="63"/>
      <c r="D78" s="62"/>
      <c r="E78" s="62"/>
      <c r="F78" s="64"/>
      <c r="G78" s="62"/>
      <c r="H78" s="63"/>
      <c r="I78" s="108" t="str">
        <f t="shared" si="3"/>
        <v/>
      </c>
      <c r="J78" s="62"/>
      <c r="K78" s="63"/>
    </row>
    <row r="79" spans="1:11" ht="15" customHeight="1" x14ac:dyDescent="0.25">
      <c r="A79" s="72"/>
      <c r="B79" s="57"/>
      <c r="C79" s="58"/>
      <c r="D79" s="57"/>
      <c r="E79" s="57"/>
      <c r="F79" s="59"/>
      <c r="G79" s="57"/>
      <c r="H79" s="58"/>
      <c r="I79" s="107" t="str">
        <f t="shared" si="3"/>
        <v/>
      </c>
      <c r="J79" s="57"/>
      <c r="K79" s="58"/>
    </row>
    <row r="80" spans="1:11" ht="15" customHeight="1" x14ac:dyDescent="0.25">
      <c r="A80" s="74"/>
      <c r="B80" s="62"/>
      <c r="C80" s="63"/>
      <c r="D80" s="62"/>
      <c r="E80" s="62"/>
      <c r="F80" s="64"/>
      <c r="G80" s="62"/>
      <c r="H80" s="63"/>
      <c r="I80" s="108" t="str">
        <f t="shared" si="3"/>
        <v/>
      </c>
      <c r="J80" s="62"/>
      <c r="K80" s="63"/>
    </row>
    <row r="81" spans="1:11" ht="15" customHeight="1" x14ac:dyDescent="0.25">
      <c r="A81" s="72"/>
      <c r="B81" s="57"/>
      <c r="C81" s="58"/>
      <c r="D81" s="57"/>
      <c r="E81" s="57"/>
      <c r="F81" s="59"/>
      <c r="G81" s="57"/>
      <c r="H81" s="58"/>
      <c r="I81" s="107" t="str">
        <f t="shared" si="3"/>
        <v/>
      </c>
      <c r="J81" s="57"/>
      <c r="K81" s="58"/>
    </row>
    <row r="82" spans="1:11" ht="15" customHeight="1" x14ac:dyDescent="0.25">
      <c r="A82" s="74"/>
      <c r="B82" s="62"/>
      <c r="C82" s="63"/>
      <c r="D82" s="62"/>
      <c r="E82" s="62"/>
      <c r="F82" s="64"/>
      <c r="G82" s="62"/>
      <c r="H82" s="63"/>
      <c r="I82" s="108" t="str">
        <f t="shared" si="3"/>
        <v/>
      </c>
      <c r="J82" s="62"/>
      <c r="K82" s="63"/>
    </row>
    <row r="83" spans="1:11" ht="15" customHeight="1" x14ac:dyDescent="0.25">
      <c r="A83" s="72"/>
      <c r="B83" s="57"/>
      <c r="C83" s="58"/>
      <c r="D83" s="57"/>
      <c r="E83" s="57"/>
      <c r="F83" s="59"/>
      <c r="G83" s="57"/>
      <c r="H83" s="58"/>
      <c r="I83" s="107" t="str">
        <f t="shared" si="3"/>
        <v/>
      </c>
      <c r="J83" s="57"/>
      <c r="K83" s="58"/>
    </row>
    <row r="84" spans="1:11" ht="15" customHeight="1" x14ac:dyDescent="0.25">
      <c r="A84" s="74"/>
      <c r="B84" s="62"/>
      <c r="C84" s="63"/>
      <c r="D84" s="62"/>
      <c r="E84" s="62"/>
      <c r="F84" s="64"/>
      <c r="G84" s="62"/>
      <c r="H84" s="63"/>
      <c r="I84" s="108" t="str">
        <f t="shared" si="3"/>
        <v/>
      </c>
      <c r="J84" s="62"/>
      <c r="K84" s="63"/>
    </row>
    <row r="85" spans="1:11" ht="15" customHeight="1" x14ac:dyDescent="0.25">
      <c r="A85" s="72"/>
      <c r="B85" s="57"/>
      <c r="C85" s="58"/>
      <c r="D85" s="57"/>
      <c r="E85" s="57"/>
      <c r="F85" s="59"/>
      <c r="G85" s="57"/>
      <c r="H85" s="58"/>
      <c r="I85" s="107" t="str">
        <f t="shared" si="3"/>
        <v/>
      </c>
      <c r="J85" s="57"/>
      <c r="K85" s="58"/>
    </row>
    <row r="86" spans="1:11" ht="15" customHeight="1" x14ac:dyDescent="0.25">
      <c r="A86" s="74"/>
      <c r="B86" s="62"/>
      <c r="C86" s="63"/>
      <c r="D86" s="62"/>
      <c r="E86" s="62"/>
      <c r="F86" s="64"/>
      <c r="G86" s="62"/>
      <c r="H86" s="63"/>
      <c r="I86" s="108" t="str">
        <f t="shared" si="3"/>
        <v/>
      </c>
      <c r="J86" s="62"/>
      <c r="K86" s="63"/>
    </row>
    <row r="87" spans="1:11" ht="15" customHeight="1" x14ac:dyDescent="0.25">
      <c r="A87" s="72"/>
      <c r="B87" s="57"/>
      <c r="C87" s="58"/>
      <c r="D87" s="57"/>
      <c r="E87" s="57"/>
      <c r="F87" s="59"/>
      <c r="G87" s="57"/>
      <c r="H87" s="58"/>
      <c r="I87" s="107" t="str">
        <f t="shared" si="3"/>
        <v/>
      </c>
      <c r="J87" s="57"/>
      <c r="K87" s="58"/>
    </row>
    <row r="88" spans="1:11" ht="15" customHeight="1" x14ac:dyDescent="0.25">
      <c r="A88" s="74"/>
      <c r="B88" s="62"/>
      <c r="C88" s="63"/>
      <c r="D88" s="62"/>
      <c r="E88" s="62"/>
      <c r="F88" s="64"/>
      <c r="G88" s="62"/>
      <c r="H88" s="63"/>
      <c r="I88" s="108" t="str">
        <f t="shared" si="3"/>
        <v/>
      </c>
      <c r="J88" s="62"/>
      <c r="K88" s="63"/>
    </row>
    <row r="89" spans="1:11" ht="15" customHeight="1" x14ac:dyDescent="0.25">
      <c r="A89" s="72"/>
      <c r="B89" s="57"/>
      <c r="C89" s="58"/>
      <c r="D89" s="57"/>
      <c r="E89" s="57"/>
      <c r="F89" s="59"/>
      <c r="G89" s="57"/>
      <c r="H89" s="58"/>
      <c r="I89" s="107" t="str">
        <f t="shared" si="3"/>
        <v/>
      </c>
      <c r="J89" s="57"/>
      <c r="K89" s="58"/>
    </row>
    <row r="90" spans="1:11" ht="15" customHeight="1" x14ac:dyDescent="0.25">
      <c r="A90" s="74"/>
      <c r="B90" s="62"/>
      <c r="C90" s="63"/>
      <c r="D90" s="62"/>
      <c r="E90" s="62"/>
      <c r="F90" s="64"/>
      <c r="G90" s="62"/>
      <c r="H90" s="63"/>
      <c r="I90" s="108" t="str">
        <f t="shared" si="3"/>
        <v/>
      </c>
      <c r="J90" s="62"/>
      <c r="K90" s="63"/>
    </row>
    <row r="91" spans="1:11" ht="15" customHeight="1" x14ac:dyDescent="0.25">
      <c r="A91" s="72"/>
      <c r="B91" s="57"/>
      <c r="C91" s="58"/>
      <c r="D91" s="57"/>
      <c r="E91" s="57"/>
      <c r="F91" s="59"/>
      <c r="G91" s="57"/>
      <c r="H91" s="58"/>
      <c r="I91" s="107" t="str">
        <f t="shared" si="3"/>
        <v/>
      </c>
      <c r="J91" s="57"/>
      <c r="K91" s="58"/>
    </row>
    <row r="92" spans="1:11" ht="15" customHeight="1" x14ac:dyDescent="0.25">
      <c r="A92" s="74"/>
      <c r="B92" s="62"/>
      <c r="C92" s="63"/>
      <c r="D92" s="62"/>
      <c r="E92" s="62"/>
      <c r="F92" s="64"/>
      <c r="G92" s="62"/>
      <c r="H92" s="63"/>
      <c r="I92" s="108" t="str">
        <f t="shared" si="3"/>
        <v/>
      </c>
      <c r="J92" s="62"/>
      <c r="K92" s="63"/>
    </row>
    <row r="93" spans="1:11" ht="15" customHeight="1" x14ac:dyDescent="0.25">
      <c r="A93" s="72"/>
      <c r="B93" s="57"/>
      <c r="C93" s="58"/>
      <c r="D93" s="57"/>
      <c r="E93" s="57"/>
      <c r="F93" s="59"/>
      <c r="G93" s="57"/>
      <c r="H93" s="58"/>
      <c r="I93" s="107" t="str">
        <f t="shared" si="3"/>
        <v/>
      </c>
      <c r="J93" s="57"/>
      <c r="K93" s="58"/>
    </row>
    <row r="94" spans="1:11" ht="15" customHeight="1" x14ac:dyDescent="0.25">
      <c r="A94" s="74"/>
      <c r="B94" s="62"/>
      <c r="C94" s="63"/>
      <c r="D94" s="62"/>
      <c r="E94" s="62"/>
      <c r="F94" s="64"/>
      <c r="G94" s="62"/>
      <c r="H94" s="63"/>
      <c r="I94" s="108" t="str">
        <f t="shared" si="3"/>
        <v/>
      </c>
      <c r="J94" s="62"/>
      <c r="K94" s="63"/>
    </row>
    <row r="95" spans="1:11" ht="15" customHeight="1" x14ac:dyDescent="0.25">
      <c r="A95" s="72"/>
      <c r="B95" s="57"/>
      <c r="C95" s="58"/>
      <c r="D95" s="57"/>
      <c r="E95" s="57"/>
      <c r="F95" s="59"/>
      <c r="G95" s="57"/>
      <c r="H95" s="58"/>
      <c r="I95" s="107" t="str">
        <f t="shared" si="3"/>
        <v/>
      </c>
      <c r="J95" s="57"/>
      <c r="K95" s="58"/>
    </row>
    <row r="96" spans="1:11" ht="15" customHeight="1" x14ac:dyDescent="0.25">
      <c r="A96" s="74"/>
      <c r="B96" s="62"/>
      <c r="C96" s="63"/>
      <c r="D96" s="62"/>
      <c r="E96" s="62"/>
      <c r="F96" s="64"/>
      <c r="G96" s="62"/>
      <c r="H96" s="63"/>
      <c r="I96" s="108" t="str">
        <f t="shared" si="3"/>
        <v/>
      </c>
      <c r="J96" s="62"/>
      <c r="K96" s="63"/>
    </row>
    <row r="97" spans="1:11" ht="15" customHeight="1" x14ac:dyDescent="0.25">
      <c r="A97" s="72"/>
      <c r="B97" s="57"/>
      <c r="C97" s="58"/>
      <c r="D97" s="57"/>
      <c r="E97" s="57"/>
      <c r="F97" s="59"/>
      <c r="G97" s="57"/>
      <c r="H97" s="58"/>
      <c r="I97" s="107" t="str">
        <f t="shared" si="3"/>
        <v/>
      </c>
      <c r="J97" s="57"/>
      <c r="K97" s="58"/>
    </row>
    <row r="98" spans="1:11" ht="15" customHeight="1" x14ac:dyDescent="0.25">
      <c r="A98" s="74"/>
      <c r="B98" s="62"/>
      <c r="C98" s="63"/>
      <c r="D98" s="62"/>
      <c r="E98" s="62"/>
      <c r="F98" s="64"/>
      <c r="G98" s="62"/>
      <c r="H98" s="63"/>
      <c r="I98" s="108" t="str">
        <f t="shared" si="3"/>
        <v/>
      </c>
      <c r="J98" s="62"/>
      <c r="K98" s="63"/>
    </row>
    <row r="99" spans="1:11" ht="15" customHeight="1" x14ac:dyDescent="0.25">
      <c r="A99" s="72"/>
      <c r="B99" s="57"/>
      <c r="C99" s="58"/>
      <c r="D99" s="57"/>
      <c r="E99" s="57"/>
      <c r="F99" s="59"/>
      <c r="G99" s="57"/>
      <c r="H99" s="58"/>
      <c r="I99" s="107" t="str">
        <f t="shared" si="3"/>
        <v/>
      </c>
      <c r="J99" s="57"/>
      <c r="K99" s="58"/>
    </row>
    <row r="100" spans="1:11" ht="15" customHeight="1" x14ac:dyDescent="0.25">
      <c r="A100" s="74"/>
      <c r="B100" s="62"/>
      <c r="C100" s="63"/>
      <c r="D100" s="62"/>
      <c r="E100" s="62"/>
      <c r="F100" s="64"/>
      <c r="G100" s="62"/>
      <c r="H100" s="63"/>
      <c r="I100" s="108" t="str">
        <f t="shared" si="3"/>
        <v/>
      </c>
      <c r="J100" s="62"/>
      <c r="K100" s="63"/>
    </row>
    <row r="101" spans="1:11" ht="15" customHeight="1" x14ac:dyDescent="0.25">
      <c r="A101" s="72"/>
      <c r="B101" s="57"/>
      <c r="C101" s="58"/>
      <c r="D101" s="57"/>
      <c r="E101" s="57"/>
      <c r="F101" s="59"/>
      <c r="G101" s="57"/>
      <c r="H101" s="58"/>
      <c r="I101" s="107" t="str">
        <f t="shared" si="3"/>
        <v/>
      </c>
      <c r="J101" s="57"/>
      <c r="K101" s="58"/>
    </row>
    <row r="102" spans="1:11" ht="15" customHeight="1" x14ac:dyDescent="0.25">
      <c r="A102" s="74"/>
      <c r="B102" s="62"/>
      <c r="C102" s="63"/>
      <c r="D102" s="62"/>
      <c r="E102" s="62"/>
      <c r="F102" s="64"/>
      <c r="G102" s="62"/>
      <c r="H102" s="63"/>
      <c r="I102" s="108" t="str">
        <f t="shared" ref="I102:I133" si="4">IF(F102="","",IF(I101="",F102,I101+F102))</f>
        <v/>
      </c>
      <c r="J102" s="62"/>
      <c r="K102" s="63"/>
    </row>
    <row r="103" spans="1:11" ht="15" customHeight="1" x14ac:dyDescent="0.25">
      <c r="A103" s="72"/>
      <c r="B103" s="57"/>
      <c r="C103" s="58"/>
      <c r="D103" s="57"/>
      <c r="E103" s="57"/>
      <c r="F103" s="59"/>
      <c r="G103" s="57"/>
      <c r="H103" s="58"/>
      <c r="I103" s="107" t="str">
        <f t="shared" si="4"/>
        <v/>
      </c>
      <c r="J103" s="57"/>
      <c r="K103" s="58"/>
    </row>
    <row r="104" spans="1:11" ht="15" customHeight="1" x14ac:dyDescent="0.25">
      <c r="A104" s="74"/>
      <c r="B104" s="62"/>
      <c r="C104" s="63"/>
      <c r="D104" s="62"/>
      <c r="E104" s="62"/>
      <c r="F104" s="64"/>
      <c r="G104" s="62"/>
      <c r="H104" s="63"/>
      <c r="I104" s="108" t="str">
        <f t="shared" si="4"/>
        <v/>
      </c>
      <c r="J104" s="62"/>
      <c r="K104" s="63"/>
    </row>
    <row r="105" spans="1:11" ht="15" customHeight="1" x14ac:dyDescent="0.25">
      <c r="A105" s="72"/>
      <c r="B105" s="57"/>
      <c r="C105" s="58"/>
      <c r="D105" s="57"/>
      <c r="E105" s="57"/>
      <c r="F105" s="59"/>
      <c r="G105" s="57"/>
      <c r="H105" s="58"/>
      <c r="I105" s="107" t="str">
        <f t="shared" si="4"/>
        <v/>
      </c>
      <c r="J105" s="57"/>
      <c r="K105" s="58"/>
    </row>
    <row r="106" spans="1:11" ht="15" customHeight="1" x14ac:dyDescent="0.25">
      <c r="A106" s="74"/>
      <c r="B106" s="62"/>
      <c r="C106" s="63"/>
      <c r="D106" s="62"/>
      <c r="E106" s="62"/>
      <c r="F106" s="64"/>
      <c r="G106" s="62"/>
      <c r="H106" s="63"/>
      <c r="I106" s="108" t="str">
        <f t="shared" si="4"/>
        <v/>
      </c>
      <c r="J106" s="62"/>
      <c r="K106" s="63"/>
    </row>
    <row r="107" spans="1:11" ht="15" customHeight="1" x14ac:dyDescent="0.25">
      <c r="A107" s="72"/>
      <c r="B107" s="57"/>
      <c r="C107" s="58"/>
      <c r="D107" s="57"/>
      <c r="E107" s="57"/>
      <c r="F107" s="59"/>
      <c r="G107" s="57"/>
      <c r="H107" s="58"/>
      <c r="I107" s="107" t="str">
        <f t="shared" si="4"/>
        <v/>
      </c>
      <c r="J107" s="57"/>
      <c r="K107" s="58"/>
    </row>
    <row r="108" spans="1:11" ht="15" customHeight="1" x14ac:dyDescent="0.25">
      <c r="A108" s="74"/>
      <c r="B108" s="62"/>
      <c r="C108" s="63"/>
      <c r="D108" s="62"/>
      <c r="E108" s="62"/>
      <c r="F108" s="64"/>
      <c r="G108" s="62"/>
      <c r="H108" s="63"/>
      <c r="I108" s="108" t="str">
        <f t="shared" si="4"/>
        <v/>
      </c>
      <c r="J108" s="62"/>
      <c r="K108" s="63"/>
    </row>
    <row r="109" spans="1:11" ht="15" customHeight="1" x14ac:dyDescent="0.25">
      <c r="A109" s="72"/>
      <c r="B109" s="57"/>
      <c r="C109" s="58"/>
      <c r="D109" s="57"/>
      <c r="E109" s="57"/>
      <c r="F109" s="59"/>
      <c r="G109" s="57"/>
      <c r="H109" s="58"/>
      <c r="I109" s="107" t="str">
        <f t="shared" si="4"/>
        <v/>
      </c>
      <c r="J109" s="57"/>
      <c r="K109" s="58"/>
    </row>
    <row r="110" spans="1:11" ht="15" customHeight="1" x14ac:dyDescent="0.25">
      <c r="A110" s="74"/>
      <c r="B110" s="62"/>
      <c r="C110" s="63"/>
      <c r="D110" s="62"/>
      <c r="E110" s="62"/>
      <c r="F110" s="64"/>
      <c r="G110" s="62"/>
      <c r="H110" s="63"/>
      <c r="I110" s="108" t="str">
        <f t="shared" si="4"/>
        <v/>
      </c>
      <c r="J110" s="62"/>
      <c r="K110" s="63"/>
    </row>
    <row r="111" spans="1:11" ht="15" customHeight="1" x14ac:dyDescent="0.25">
      <c r="A111" s="72"/>
      <c r="B111" s="57"/>
      <c r="C111" s="58"/>
      <c r="D111" s="57"/>
      <c r="E111" s="57"/>
      <c r="F111" s="59"/>
      <c r="G111" s="57"/>
      <c r="H111" s="58"/>
      <c r="I111" s="107" t="str">
        <f t="shared" si="4"/>
        <v/>
      </c>
      <c r="J111" s="57"/>
      <c r="K111" s="58"/>
    </row>
    <row r="112" spans="1:11" ht="15" customHeight="1" x14ac:dyDescent="0.25">
      <c r="A112" s="74"/>
      <c r="B112" s="62"/>
      <c r="C112" s="63"/>
      <c r="D112" s="62"/>
      <c r="E112" s="62"/>
      <c r="F112" s="64"/>
      <c r="G112" s="62"/>
      <c r="H112" s="63"/>
      <c r="I112" s="108" t="str">
        <f t="shared" si="4"/>
        <v/>
      </c>
      <c r="J112" s="62"/>
      <c r="K112" s="63"/>
    </row>
    <row r="113" spans="1:11" ht="15" customHeight="1" x14ac:dyDescent="0.25">
      <c r="A113" s="72"/>
      <c r="B113" s="57"/>
      <c r="C113" s="58"/>
      <c r="D113" s="57"/>
      <c r="E113" s="57"/>
      <c r="F113" s="59"/>
      <c r="G113" s="57"/>
      <c r="H113" s="58"/>
      <c r="I113" s="107" t="str">
        <f t="shared" si="4"/>
        <v/>
      </c>
      <c r="J113" s="57"/>
      <c r="K113" s="58"/>
    </row>
    <row r="114" spans="1:11" ht="15" customHeight="1" x14ac:dyDescent="0.25">
      <c r="A114" s="74"/>
      <c r="B114" s="62"/>
      <c r="C114" s="63"/>
      <c r="D114" s="62"/>
      <c r="E114" s="62"/>
      <c r="F114" s="64"/>
      <c r="G114" s="62"/>
      <c r="H114" s="63"/>
      <c r="I114" s="108" t="str">
        <f t="shared" si="4"/>
        <v/>
      </c>
      <c r="J114" s="62"/>
      <c r="K114" s="63"/>
    </row>
    <row r="115" spans="1:11" ht="15" customHeight="1" x14ac:dyDescent="0.25">
      <c r="A115" s="72"/>
      <c r="B115" s="57"/>
      <c r="C115" s="58"/>
      <c r="D115" s="57"/>
      <c r="E115" s="57"/>
      <c r="F115" s="59"/>
      <c r="G115" s="57"/>
      <c r="H115" s="58"/>
      <c r="I115" s="107" t="str">
        <f t="shared" si="4"/>
        <v/>
      </c>
      <c r="J115" s="57"/>
      <c r="K115" s="58"/>
    </row>
    <row r="116" spans="1:11" ht="15" customHeight="1" x14ac:dyDescent="0.25">
      <c r="A116" s="74"/>
      <c r="B116" s="62"/>
      <c r="C116" s="63"/>
      <c r="D116" s="62"/>
      <c r="E116" s="62"/>
      <c r="F116" s="64"/>
      <c r="G116" s="62"/>
      <c r="H116" s="63"/>
      <c r="I116" s="108" t="str">
        <f t="shared" si="4"/>
        <v/>
      </c>
      <c r="J116" s="62"/>
      <c r="K116" s="63"/>
    </row>
    <row r="117" spans="1:11" ht="15" customHeight="1" x14ac:dyDescent="0.25">
      <c r="A117" s="72"/>
      <c r="B117" s="57"/>
      <c r="C117" s="58"/>
      <c r="D117" s="57"/>
      <c r="E117" s="57"/>
      <c r="F117" s="59"/>
      <c r="G117" s="57"/>
      <c r="H117" s="58"/>
      <c r="I117" s="107" t="str">
        <f t="shared" si="4"/>
        <v/>
      </c>
      <c r="J117" s="57"/>
      <c r="K117" s="58"/>
    </row>
    <row r="118" spans="1:11" ht="15" customHeight="1" x14ac:dyDescent="0.25">
      <c r="A118" s="74"/>
      <c r="B118" s="62"/>
      <c r="C118" s="63"/>
      <c r="D118" s="62"/>
      <c r="E118" s="62"/>
      <c r="F118" s="64"/>
      <c r="G118" s="62"/>
      <c r="H118" s="63"/>
      <c r="I118" s="108" t="str">
        <f t="shared" si="4"/>
        <v/>
      </c>
      <c r="J118" s="62"/>
      <c r="K118" s="63"/>
    </row>
    <row r="119" spans="1:11" ht="15" customHeight="1" x14ac:dyDescent="0.25">
      <c r="A119" s="72"/>
      <c r="B119" s="57"/>
      <c r="C119" s="58"/>
      <c r="D119" s="57"/>
      <c r="E119" s="57"/>
      <c r="F119" s="59"/>
      <c r="G119" s="57"/>
      <c r="H119" s="58"/>
      <c r="I119" s="107" t="str">
        <f t="shared" si="4"/>
        <v/>
      </c>
      <c r="J119" s="57"/>
      <c r="K119" s="58"/>
    </row>
    <row r="120" spans="1:11" ht="15" customHeight="1" x14ac:dyDescent="0.25">
      <c r="A120" s="74"/>
      <c r="B120" s="62"/>
      <c r="C120" s="63"/>
      <c r="D120" s="62"/>
      <c r="E120" s="62"/>
      <c r="F120" s="64"/>
      <c r="G120" s="62"/>
      <c r="H120" s="63"/>
      <c r="I120" s="108" t="str">
        <f t="shared" si="4"/>
        <v/>
      </c>
      <c r="J120" s="62"/>
      <c r="K120" s="63"/>
    </row>
    <row r="121" spans="1:11" ht="15" customHeight="1" x14ac:dyDescent="0.25">
      <c r="A121" s="72"/>
      <c r="B121" s="57"/>
      <c r="C121" s="58"/>
      <c r="D121" s="57"/>
      <c r="E121" s="57"/>
      <c r="F121" s="59"/>
      <c r="G121" s="57"/>
      <c r="H121" s="58"/>
      <c r="I121" s="107" t="str">
        <f t="shared" si="4"/>
        <v/>
      </c>
      <c r="J121" s="57"/>
      <c r="K121" s="58"/>
    </row>
    <row r="122" spans="1:11" ht="15" customHeight="1" x14ac:dyDescent="0.25">
      <c r="A122" s="74"/>
      <c r="B122" s="62"/>
      <c r="C122" s="63"/>
      <c r="D122" s="62"/>
      <c r="E122" s="62"/>
      <c r="F122" s="64"/>
      <c r="G122" s="62"/>
      <c r="H122" s="63"/>
      <c r="I122" s="108" t="str">
        <f t="shared" si="4"/>
        <v/>
      </c>
      <c r="J122" s="62"/>
      <c r="K122" s="63"/>
    </row>
    <row r="123" spans="1:11" ht="15" customHeight="1" x14ac:dyDescent="0.25">
      <c r="A123" s="72"/>
      <c r="B123" s="57"/>
      <c r="C123" s="58"/>
      <c r="D123" s="57"/>
      <c r="E123" s="57"/>
      <c r="F123" s="59"/>
      <c r="G123" s="57"/>
      <c r="H123" s="58"/>
      <c r="I123" s="107" t="str">
        <f t="shared" si="4"/>
        <v/>
      </c>
      <c r="J123" s="57"/>
      <c r="K123" s="58"/>
    </row>
    <row r="124" spans="1:11" ht="15" customHeight="1" x14ac:dyDescent="0.25">
      <c r="A124" s="74"/>
      <c r="B124" s="62"/>
      <c r="C124" s="63"/>
      <c r="D124" s="62"/>
      <c r="E124" s="62"/>
      <c r="F124" s="64"/>
      <c r="G124" s="62"/>
      <c r="H124" s="63"/>
      <c r="I124" s="108" t="str">
        <f t="shared" si="4"/>
        <v/>
      </c>
      <c r="J124" s="62"/>
      <c r="K124" s="63"/>
    </row>
    <row r="125" spans="1:11" ht="15" customHeight="1" x14ac:dyDescent="0.25">
      <c r="A125" s="72"/>
      <c r="B125" s="57"/>
      <c r="C125" s="58"/>
      <c r="D125" s="57"/>
      <c r="E125" s="57"/>
      <c r="F125" s="59"/>
      <c r="G125" s="57"/>
      <c r="H125" s="58"/>
      <c r="I125" s="107" t="str">
        <f t="shared" si="4"/>
        <v/>
      </c>
      <c r="J125" s="57"/>
      <c r="K125" s="58"/>
    </row>
    <row r="126" spans="1:11" ht="15" customHeight="1" x14ac:dyDescent="0.25">
      <c r="A126" s="74"/>
      <c r="B126" s="62"/>
      <c r="C126" s="63"/>
      <c r="D126" s="62"/>
      <c r="E126" s="62"/>
      <c r="F126" s="64"/>
      <c r="G126" s="62"/>
      <c r="H126" s="63"/>
      <c r="I126" s="108" t="str">
        <f t="shared" si="4"/>
        <v/>
      </c>
      <c r="J126" s="62"/>
      <c r="K126" s="63"/>
    </row>
    <row r="127" spans="1:11" ht="15" customHeight="1" x14ac:dyDescent="0.25">
      <c r="A127" s="72"/>
      <c r="B127" s="57"/>
      <c r="C127" s="58"/>
      <c r="D127" s="57"/>
      <c r="E127" s="57"/>
      <c r="F127" s="59"/>
      <c r="G127" s="57"/>
      <c r="H127" s="58"/>
      <c r="I127" s="107" t="str">
        <f t="shared" si="4"/>
        <v/>
      </c>
      <c r="J127" s="57"/>
      <c r="K127" s="58"/>
    </row>
    <row r="128" spans="1:11" ht="15" customHeight="1" x14ac:dyDescent="0.25">
      <c r="A128" s="74"/>
      <c r="B128" s="62"/>
      <c r="C128" s="63"/>
      <c r="D128" s="62"/>
      <c r="E128" s="62"/>
      <c r="F128" s="64"/>
      <c r="G128" s="62"/>
      <c r="H128" s="63"/>
      <c r="I128" s="108" t="str">
        <f t="shared" si="4"/>
        <v/>
      </c>
      <c r="J128" s="62"/>
      <c r="K128" s="63"/>
    </row>
    <row r="129" spans="1:11" ht="15" customHeight="1" x14ac:dyDescent="0.25">
      <c r="A129" s="72"/>
      <c r="B129" s="57"/>
      <c r="C129" s="58"/>
      <c r="D129" s="57"/>
      <c r="E129" s="57"/>
      <c r="F129" s="59"/>
      <c r="G129" s="57"/>
      <c r="H129" s="58"/>
      <c r="I129" s="107" t="str">
        <f t="shared" si="4"/>
        <v/>
      </c>
      <c r="J129" s="57"/>
      <c r="K129" s="58"/>
    </row>
    <row r="130" spans="1:11" ht="15" customHeight="1" x14ac:dyDescent="0.25">
      <c r="A130" s="74"/>
      <c r="B130" s="62"/>
      <c r="C130" s="63"/>
      <c r="D130" s="62"/>
      <c r="E130" s="62"/>
      <c r="F130" s="64"/>
      <c r="G130" s="62"/>
      <c r="H130" s="63"/>
      <c r="I130" s="108" t="str">
        <f t="shared" si="4"/>
        <v/>
      </c>
      <c r="J130" s="62"/>
      <c r="K130" s="63"/>
    </row>
    <row r="131" spans="1:11" ht="15" customHeight="1" x14ac:dyDescent="0.25">
      <c r="A131" s="72"/>
      <c r="B131" s="57"/>
      <c r="C131" s="58"/>
      <c r="D131" s="57"/>
      <c r="E131" s="57"/>
      <c r="F131" s="59"/>
      <c r="G131" s="57"/>
      <c r="H131" s="58"/>
      <c r="I131" s="107" t="str">
        <f t="shared" si="4"/>
        <v/>
      </c>
      <c r="J131" s="57"/>
      <c r="K131" s="58"/>
    </row>
    <row r="132" spans="1:11" ht="15" customHeight="1" x14ac:dyDescent="0.25">
      <c r="A132" s="74"/>
      <c r="B132" s="62"/>
      <c r="C132" s="63"/>
      <c r="D132" s="62"/>
      <c r="E132" s="62"/>
      <c r="F132" s="64"/>
      <c r="G132" s="62"/>
      <c r="H132" s="63"/>
      <c r="I132" s="108" t="str">
        <f t="shared" si="4"/>
        <v/>
      </c>
      <c r="J132" s="62"/>
      <c r="K132" s="63"/>
    </row>
    <row r="133" spans="1:11" ht="15" customHeight="1" x14ac:dyDescent="0.25">
      <c r="A133" s="72"/>
      <c r="B133" s="57"/>
      <c r="C133" s="58"/>
      <c r="D133" s="57"/>
      <c r="E133" s="57"/>
      <c r="F133" s="59"/>
      <c r="G133" s="57"/>
      <c r="H133" s="58"/>
      <c r="I133" s="107" t="str">
        <f t="shared" si="4"/>
        <v/>
      </c>
      <c r="J133" s="57"/>
      <c r="K133" s="58"/>
    </row>
    <row r="134" spans="1:11" ht="15" customHeight="1" x14ac:dyDescent="0.25">
      <c r="A134" s="74"/>
      <c r="B134" s="62"/>
      <c r="C134" s="63"/>
      <c r="D134" s="62"/>
      <c r="E134" s="62"/>
      <c r="F134" s="64"/>
      <c r="G134" s="62"/>
      <c r="H134" s="63"/>
      <c r="I134" s="108" t="str">
        <f t="shared" ref="I134:I154" si="5">IF(F134="","",IF(I133="",F134,I133+F134))</f>
        <v/>
      </c>
      <c r="J134" s="62"/>
      <c r="K134" s="63"/>
    </row>
    <row r="135" spans="1:11" ht="15" customHeight="1" x14ac:dyDescent="0.25">
      <c r="A135" s="72"/>
      <c r="B135" s="57"/>
      <c r="C135" s="58"/>
      <c r="D135" s="57"/>
      <c r="E135" s="57"/>
      <c r="F135" s="59"/>
      <c r="G135" s="57"/>
      <c r="H135" s="58"/>
      <c r="I135" s="107" t="str">
        <f t="shared" si="5"/>
        <v/>
      </c>
      <c r="J135" s="57"/>
      <c r="K135" s="58"/>
    </row>
    <row r="136" spans="1:11" ht="15" customHeight="1" x14ac:dyDescent="0.25">
      <c r="A136" s="74"/>
      <c r="B136" s="62"/>
      <c r="C136" s="63"/>
      <c r="D136" s="62"/>
      <c r="E136" s="62"/>
      <c r="F136" s="64"/>
      <c r="G136" s="62"/>
      <c r="H136" s="63"/>
      <c r="I136" s="108" t="str">
        <f t="shared" si="5"/>
        <v/>
      </c>
      <c r="J136" s="62"/>
      <c r="K136" s="63"/>
    </row>
    <row r="137" spans="1:11" ht="15" customHeight="1" x14ac:dyDescent="0.25">
      <c r="A137" s="72"/>
      <c r="B137" s="57"/>
      <c r="C137" s="58"/>
      <c r="D137" s="57"/>
      <c r="E137" s="57"/>
      <c r="F137" s="59"/>
      <c r="G137" s="57"/>
      <c r="H137" s="58"/>
      <c r="I137" s="107" t="str">
        <f t="shared" si="5"/>
        <v/>
      </c>
      <c r="J137" s="57"/>
      <c r="K137" s="58"/>
    </row>
    <row r="138" spans="1:11" ht="15" customHeight="1" x14ac:dyDescent="0.25">
      <c r="A138" s="74"/>
      <c r="B138" s="62"/>
      <c r="C138" s="63"/>
      <c r="D138" s="62"/>
      <c r="E138" s="62"/>
      <c r="F138" s="64"/>
      <c r="G138" s="62"/>
      <c r="H138" s="63"/>
      <c r="I138" s="108" t="str">
        <f t="shared" si="5"/>
        <v/>
      </c>
      <c r="J138" s="62"/>
      <c r="K138" s="63"/>
    </row>
    <row r="139" spans="1:11" ht="15" customHeight="1" x14ac:dyDescent="0.25">
      <c r="A139" s="72"/>
      <c r="B139" s="57"/>
      <c r="C139" s="58"/>
      <c r="D139" s="57"/>
      <c r="E139" s="57"/>
      <c r="F139" s="59"/>
      <c r="G139" s="57"/>
      <c r="H139" s="58"/>
      <c r="I139" s="107" t="str">
        <f t="shared" si="5"/>
        <v/>
      </c>
      <c r="J139" s="57"/>
      <c r="K139" s="58"/>
    </row>
    <row r="140" spans="1:11" ht="15" customHeight="1" x14ac:dyDescent="0.25">
      <c r="A140" s="74"/>
      <c r="B140" s="62"/>
      <c r="C140" s="63"/>
      <c r="D140" s="62"/>
      <c r="E140" s="62"/>
      <c r="F140" s="64"/>
      <c r="G140" s="62"/>
      <c r="H140" s="63"/>
      <c r="I140" s="108" t="str">
        <f t="shared" si="5"/>
        <v/>
      </c>
      <c r="J140" s="62"/>
      <c r="K140" s="63"/>
    </row>
    <row r="141" spans="1:11" ht="15" customHeight="1" x14ac:dyDescent="0.25">
      <c r="A141" s="72"/>
      <c r="B141" s="57"/>
      <c r="C141" s="58"/>
      <c r="D141" s="57"/>
      <c r="E141" s="57"/>
      <c r="F141" s="59"/>
      <c r="G141" s="57"/>
      <c r="H141" s="58"/>
      <c r="I141" s="107" t="str">
        <f t="shared" si="5"/>
        <v/>
      </c>
      <c r="J141" s="57"/>
      <c r="K141" s="58"/>
    </row>
    <row r="142" spans="1:11" ht="15" customHeight="1" x14ac:dyDescent="0.25">
      <c r="A142" s="74"/>
      <c r="B142" s="62"/>
      <c r="C142" s="63"/>
      <c r="D142" s="62"/>
      <c r="E142" s="62"/>
      <c r="F142" s="64"/>
      <c r="G142" s="62"/>
      <c r="H142" s="63"/>
      <c r="I142" s="108" t="str">
        <f t="shared" si="5"/>
        <v/>
      </c>
      <c r="J142" s="62"/>
      <c r="K142" s="63"/>
    </row>
    <row r="143" spans="1:11" ht="15" customHeight="1" x14ac:dyDescent="0.25">
      <c r="A143" s="72"/>
      <c r="B143" s="57"/>
      <c r="C143" s="58"/>
      <c r="D143" s="57"/>
      <c r="E143" s="57"/>
      <c r="F143" s="59"/>
      <c r="G143" s="57"/>
      <c r="H143" s="58"/>
      <c r="I143" s="107" t="str">
        <f t="shared" si="5"/>
        <v/>
      </c>
      <c r="J143" s="57"/>
      <c r="K143" s="58"/>
    </row>
    <row r="144" spans="1:11" ht="15" customHeight="1" x14ac:dyDescent="0.25">
      <c r="A144" s="74"/>
      <c r="B144" s="62"/>
      <c r="C144" s="63"/>
      <c r="D144" s="62"/>
      <c r="E144" s="62"/>
      <c r="F144" s="64"/>
      <c r="G144" s="62"/>
      <c r="H144" s="63"/>
      <c r="I144" s="108" t="str">
        <f t="shared" si="5"/>
        <v/>
      </c>
      <c r="J144" s="62"/>
      <c r="K144" s="63"/>
    </row>
    <row r="145" spans="1:11" ht="15" customHeight="1" x14ac:dyDescent="0.25">
      <c r="A145" s="72"/>
      <c r="B145" s="57"/>
      <c r="C145" s="58"/>
      <c r="D145" s="57"/>
      <c r="E145" s="57"/>
      <c r="F145" s="59"/>
      <c r="G145" s="57"/>
      <c r="H145" s="58"/>
      <c r="I145" s="107" t="str">
        <f t="shared" si="5"/>
        <v/>
      </c>
      <c r="J145" s="57"/>
      <c r="K145" s="58"/>
    </row>
    <row r="146" spans="1:11" ht="15" customHeight="1" x14ac:dyDescent="0.25">
      <c r="A146" s="74"/>
      <c r="B146" s="62"/>
      <c r="C146" s="63"/>
      <c r="D146" s="62"/>
      <c r="E146" s="62"/>
      <c r="F146" s="64"/>
      <c r="G146" s="62"/>
      <c r="H146" s="63"/>
      <c r="I146" s="108" t="str">
        <f t="shared" si="5"/>
        <v/>
      </c>
      <c r="J146" s="62"/>
      <c r="K146" s="63"/>
    </row>
    <row r="147" spans="1:11" ht="15" customHeight="1" x14ac:dyDescent="0.25">
      <c r="A147" s="72"/>
      <c r="B147" s="57"/>
      <c r="C147" s="58"/>
      <c r="D147" s="57"/>
      <c r="E147" s="57"/>
      <c r="F147" s="59"/>
      <c r="G147" s="57"/>
      <c r="H147" s="58"/>
      <c r="I147" s="107" t="str">
        <f t="shared" si="5"/>
        <v/>
      </c>
      <c r="J147" s="57"/>
      <c r="K147" s="58"/>
    </row>
    <row r="148" spans="1:11" ht="15" customHeight="1" x14ac:dyDescent="0.25">
      <c r="A148" s="74"/>
      <c r="B148" s="62"/>
      <c r="C148" s="63"/>
      <c r="D148" s="62"/>
      <c r="E148" s="62"/>
      <c r="F148" s="64"/>
      <c r="G148" s="62"/>
      <c r="H148" s="63"/>
      <c r="I148" s="108" t="str">
        <f t="shared" si="5"/>
        <v/>
      </c>
      <c r="J148" s="62"/>
      <c r="K148" s="63"/>
    </row>
    <row r="149" spans="1:11" ht="15" customHeight="1" x14ac:dyDescent="0.25">
      <c r="A149" s="72"/>
      <c r="B149" s="57"/>
      <c r="C149" s="58"/>
      <c r="D149" s="57"/>
      <c r="E149" s="57"/>
      <c r="F149" s="59"/>
      <c r="G149" s="57"/>
      <c r="H149" s="58"/>
      <c r="I149" s="107" t="str">
        <f t="shared" si="5"/>
        <v/>
      </c>
      <c r="J149" s="57"/>
      <c r="K149" s="58"/>
    </row>
    <row r="150" spans="1:11" ht="15" customHeight="1" x14ac:dyDescent="0.25">
      <c r="A150" s="74"/>
      <c r="B150" s="62"/>
      <c r="C150" s="63"/>
      <c r="D150" s="62"/>
      <c r="E150" s="62"/>
      <c r="F150" s="64"/>
      <c r="G150" s="62"/>
      <c r="H150" s="63"/>
      <c r="I150" s="108" t="str">
        <f t="shared" si="5"/>
        <v/>
      </c>
      <c r="J150" s="62"/>
      <c r="K150" s="63"/>
    </row>
    <row r="151" spans="1:11" ht="15" customHeight="1" x14ac:dyDescent="0.25">
      <c r="A151" s="72"/>
      <c r="B151" s="57"/>
      <c r="C151" s="58"/>
      <c r="D151" s="57"/>
      <c r="E151" s="57"/>
      <c r="F151" s="59"/>
      <c r="G151" s="57"/>
      <c r="H151" s="58"/>
      <c r="I151" s="107" t="str">
        <f t="shared" si="5"/>
        <v/>
      </c>
      <c r="J151" s="57"/>
      <c r="K151" s="58"/>
    </row>
    <row r="152" spans="1:11" ht="15" customHeight="1" x14ac:dyDescent="0.25">
      <c r="A152" s="74"/>
      <c r="B152" s="62"/>
      <c r="C152" s="63"/>
      <c r="D152" s="62"/>
      <c r="E152" s="62"/>
      <c r="F152" s="64"/>
      <c r="G152" s="62"/>
      <c r="H152" s="63"/>
      <c r="I152" s="108" t="str">
        <f t="shared" si="5"/>
        <v/>
      </c>
      <c r="J152" s="62"/>
      <c r="K152" s="63"/>
    </row>
    <row r="153" spans="1:11" ht="15" customHeight="1" x14ac:dyDescent="0.25">
      <c r="A153" s="72"/>
      <c r="B153" s="57"/>
      <c r="C153" s="58"/>
      <c r="D153" s="57"/>
      <c r="E153" s="57"/>
      <c r="F153" s="59"/>
      <c r="G153" s="57"/>
      <c r="H153" s="58"/>
      <c r="I153" s="107" t="str">
        <f t="shared" si="5"/>
        <v/>
      </c>
      <c r="J153" s="57"/>
      <c r="K153" s="58"/>
    </row>
    <row r="154" spans="1:11" ht="15" customHeight="1" x14ac:dyDescent="0.25">
      <c r="A154" s="74"/>
      <c r="B154" s="62"/>
      <c r="C154" s="63"/>
      <c r="D154" s="62"/>
      <c r="E154" s="62"/>
      <c r="F154" s="64"/>
      <c r="G154" s="62"/>
      <c r="H154" s="63"/>
      <c r="I154" s="108" t="str">
        <f t="shared" si="5"/>
        <v/>
      </c>
      <c r="J154" s="62"/>
      <c r="K154" s="63"/>
    </row>
    <row r="157" spans="1:11" ht="25.5" customHeight="1" x14ac:dyDescent="0.25">
      <c r="A157" s="144" t="s">
        <v>186</v>
      </c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</row>
    <row r="158" spans="1:11" ht="23.25" customHeight="1" x14ac:dyDescent="0.25">
      <c r="A158" s="17" t="s">
        <v>180</v>
      </c>
      <c r="B158" s="17" t="s">
        <v>187</v>
      </c>
      <c r="C158" s="17" t="s">
        <v>188</v>
      </c>
      <c r="D158" s="17" t="s">
        <v>189</v>
      </c>
      <c r="E158" s="17" t="s">
        <v>190</v>
      </c>
      <c r="F158" s="17" t="s">
        <v>191</v>
      </c>
      <c r="G158" s="17" t="s">
        <v>192</v>
      </c>
      <c r="H158" s="17" t="s">
        <v>193</v>
      </c>
      <c r="I158" s="17" t="s">
        <v>194</v>
      </c>
      <c r="J158" s="17" t="s">
        <v>195</v>
      </c>
      <c r="K158" s="17" t="s">
        <v>36</v>
      </c>
    </row>
    <row r="159" spans="1:11" ht="15" customHeight="1" x14ac:dyDescent="0.25">
      <c r="A159" s="76" t="s">
        <v>196</v>
      </c>
      <c r="B159" s="72">
        <v>46133</v>
      </c>
      <c r="C159" s="77">
        <f>COUNTIF(E5:E154,"Wk 1 (21 Apr)")</f>
        <v>1</v>
      </c>
      <c r="D159" s="78">
        <f>SUMPRODUCT((E5:E154="Wk 1 (21 Apr)")*(G5:G154="Cash")*(F5:F154))</f>
        <v>0</v>
      </c>
      <c r="E159" s="78">
        <f>SUMPRODUCT((E5:E154="Wk 1 (21 Apr)")*((G5:G154="MTN MoMo")+(G5:G154="Vodafone Cash")+(G5:G154="AirtelTigo Money"))*(F5:F154))</f>
        <v>0</v>
      </c>
      <c r="F159" s="78">
        <f>SUMPRODUCT((E5:E154="Wk 1 (21 Apr)")*(G5:G154="Bank Transfer")*(F5:F154))</f>
        <v>0</v>
      </c>
      <c r="G159" s="78">
        <f>SUMPRODUCT((E5:E154="Wk 1 (21 Apr)")*(G5:G154="Cheque")*(F5:F154))</f>
        <v>0</v>
      </c>
      <c r="H159" s="79">
        <f t="shared" ref="H159:H172" si="6">SUM(D159:G159)</f>
        <v>0</v>
      </c>
      <c r="I159" s="60">
        <f>H159</f>
        <v>0</v>
      </c>
      <c r="J159" s="77"/>
      <c r="K159" s="80"/>
    </row>
    <row r="160" spans="1:11" ht="15" customHeight="1" x14ac:dyDescent="0.25">
      <c r="A160" s="81" t="s">
        <v>197</v>
      </c>
      <c r="B160" s="74">
        <v>46140</v>
      </c>
      <c r="C160" s="82">
        <f>COUNTIF(E5:E154,"Wk 2 (28 Apr)")</f>
        <v>1</v>
      </c>
      <c r="D160" s="83">
        <f>SUMPRODUCT((E5:E154="Wk 2 (28 Apr)")*(G5:G154="Cash")*(F5:F154))</f>
        <v>2000</v>
      </c>
      <c r="E160" s="83">
        <f>SUMPRODUCT((E5:E154="Wk 2 (28 Apr)")*((G5:G154="MTN MoMo")+(G5:G154="Vodafone Cash")+(G5:G154="AirtelTigo Money"))*(F5:F154))</f>
        <v>0</v>
      </c>
      <c r="F160" s="83">
        <f>SUMPRODUCT((E5:E154="Wk 2 (28 Apr)")*(G5:G154="Bank Transfer")*(F5:F154))</f>
        <v>0</v>
      </c>
      <c r="G160" s="83">
        <f>SUMPRODUCT((E5:E154="Wk 2 (28 Apr)")*(G5:G154="Cheque")*(F5:F154))</f>
        <v>0</v>
      </c>
      <c r="H160" s="84">
        <f t="shared" si="6"/>
        <v>2000</v>
      </c>
      <c r="I160" s="65">
        <f t="shared" ref="I160:I172" si="7">I159+H160</f>
        <v>2000</v>
      </c>
      <c r="J160" s="82"/>
      <c r="K160" s="85"/>
    </row>
    <row r="161" spans="1:11" ht="15" customHeight="1" x14ac:dyDescent="0.25">
      <c r="A161" s="76" t="s">
        <v>198</v>
      </c>
      <c r="B161" s="72">
        <v>46147</v>
      </c>
      <c r="C161" s="77">
        <f>COUNTIF(E5:E154,"Wk 3 (05 May)")</f>
        <v>0</v>
      </c>
      <c r="D161" s="78">
        <f>SUMPRODUCT((E5:E154="Wk 3 (05 May)")*(G5:G154="Cash")*(F5:F154))</f>
        <v>0</v>
      </c>
      <c r="E161" s="78">
        <f>SUMPRODUCT((E5:E154="Wk 3 (05 May)")*((G5:G154="MTN MoMo")+(G5:G154="Vodafone Cash")+(G5:G154="AirtelTigo Money"))*(F5:F154))</f>
        <v>0</v>
      </c>
      <c r="F161" s="78">
        <f>SUMPRODUCT((E5:E154="Wk 3 (05 May)")*(G5:G154="Bank Transfer")*(F5:F154))</f>
        <v>0</v>
      </c>
      <c r="G161" s="78">
        <f>SUMPRODUCT((E5:E154="Wk 3 (05 May)")*(G5:G154="Cheque")*(F5:F154))</f>
        <v>0</v>
      </c>
      <c r="H161" s="79">
        <f t="shared" si="6"/>
        <v>0</v>
      </c>
      <c r="I161" s="60">
        <f t="shared" si="7"/>
        <v>2000</v>
      </c>
      <c r="J161" s="77"/>
      <c r="K161" s="80"/>
    </row>
    <row r="162" spans="1:11" ht="15" customHeight="1" x14ac:dyDescent="0.25">
      <c r="A162" s="81" t="s">
        <v>199</v>
      </c>
      <c r="B162" s="74">
        <v>46154</v>
      </c>
      <c r="C162" s="82">
        <f>COUNTIF(E5:E154,"Wk 4 (12 May)")</f>
        <v>1</v>
      </c>
      <c r="D162" s="83">
        <f>SUMPRODUCT((E5:E154="Wk 4 (12 May)")*(G5:G154="Cash")*(F5:F154))</f>
        <v>3050</v>
      </c>
      <c r="E162" s="83">
        <f>SUMPRODUCT((E5:E154="Wk 4 (12 May)")*((G5:G154="MTN MoMo")+(G5:G154="Vodafone Cash")+(G5:G154="AirtelTigo Money"))*(F5:F154))</f>
        <v>0</v>
      </c>
      <c r="F162" s="83">
        <f>SUMPRODUCT((E5:E154="Wk 4 (12 May)")*(G5:G154="Bank Transfer")*(F5:F154))</f>
        <v>0</v>
      </c>
      <c r="G162" s="83">
        <f>SUMPRODUCT((E5:E154="Wk 4 (12 May)")*(G5:G154="Cheque")*(F5:F154))</f>
        <v>0</v>
      </c>
      <c r="H162" s="84">
        <f t="shared" si="6"/>
        <v>3050</v>
      </c>
      <c r="I162" s="65">
        <f t="shared" si="7"/>
        <v>5050</v>
      </c>
      <c r="J162" s="82"/>
      <c r="K162" s="85"/>
    </row>
    <row r="163" spans="1:11" ht="15" customHeight="1" x14ac:dyDescent="0.25">
      <c r="A163" s="76" t="s">
        <v>200</v>
      </c>
      <c r="B163" s="72">
        <v>46161</v>
      </c>
      <c r="C163" s="77">
        <f>COUNTIF(E5:E154,"Wk 5 (19 May)")</f>
        <v>0</v>
      </c>
      <c r="D163" s="78">
        <f>SUMPRODUCT((E5:E154="Wk 5 (19 May)")*(G5:G154="Cash")*(F5:F154))</f>
        <v>0</v>
      </c>
      <c r="E163" s="78">
        <f>SUMPRODUCT((E5:E154="Wk 5 (19 May)")*((G5:G154="MTN MoMo")+(G5:G154="Vodafone Cash")+(G5:G154="AirtelTigo Money"))*(F5:F154))</f>
        <v>0</v>
      </c>
      <c r="F163" s="78">
        <f>SUMPRODUCT((E5:E154="Wk 5 (19 May)")*(G5:G154="Bank Transfer")*(F5:F154))</f>
        <v>0</v>
      </c>
      <c r="G163" s="78">
        <f>SUMPRODUCT((E5:E154="Wk 5 (19 May)")*(G5:G154="Cheque")*(F5:F154))</f>
        <v>0</v>
      </c>
      <c r="H163" s="79">
        <f t="shared" si="6"/>
        <v>0</v>
      </c>
      <c r="I163" s="60">
        <f t="shared" si="7"/>
        <v>5050</v>
      </c>
      <c r="J163" s="77"/>
      <c r="K163" s="80"/>
    </row>
    <row r="164" spans="1:11" ht="15" customHeight="1" x14ac:dyDescent="0.25">
      <c r="A164" s="81" t="s">
        <v>201</v>
      </c>
      <c r="B164" s="74">
        <v>46168</v>
      </c>
      <c r="C164" s="82">
        <f>COUNTIF(E5:E154,"Wk 6 (26 May)")</f>
        <v>0</v>
      </c>
      <c r="D164" s="83">
        <f>SUMPRODUCT((E5:E154="Wk 6 (26 May)")*(G5:G154="Cash")*(F5:F154))</f>
        <v>0</v>
      </c>
      <c r="E164" s="83">
        <f>SUMPRODUCT((E5:E154="Wk 6 (26 May)")*((G5:G154="MTN MoMo")+(G5:G154="Vodafone Cash")+(G5:G154="AirtelTigo Money"))*(F5:F154))</f>
        <v>0</v>
      </c>
      <c r="F164" s="83">
        <f>SUMPRODUCT((E5:E154="Wk 6 (26 May)")*(G5:G154="Bank Transfer")*(F5:F154))</f>
        <v>0</v>
      </c>
      <c r="G164" s="83">
        <f>SUMPRODUCT((E5:E154="Wk 6 (26 May)")*(G5:G154="Cheque")*(F5:F154))</f>
        <v>0</v>
      </c>
      <c r="H164" s="84">
        <f t="shared" si="6"/>
        <v>0</v>
      </c>
      <c r="I164" s="65">
        <f t="shared" si="7"/>
        <v>5050</v>
      </c>
      <c r="J164" s="82"/>
      <c r="K164" s="85"/>
    </row>
    <row r="165" spans="1:11" ht="15" customHeight="1" x14ac:dyDescent="0.25">
      <c r="A165" s="76" t="s">
        <v>202</v>
      </c>
      <c r="B165" s="72">
        <v>46175</v>
      </c>
      <c r="C165" s="77">
        <f>COUNTIF(E5:E154,"Wk 7 (02 Jun)")</f>
        <v>2</v>
      </c>
      <c r="D165" s="78">
        <f>SUMPRODUCT((E5:E154="Wk 7 (02 Jun)")*(G5:G154="Cash")*(F5:F154))</f>
        <v>0</v>
      </c>
      <c r="E165" s="78">
        <f>SUMPRODUCT((E5:E154="Wk 7 (02 Jun)")*((G5:G154="MTN MoMo")+(G5:G154="Vodafone Cash")+(G5:G154="AirtelTigo Money"))*(F5:F154))</f>
        <v>2200</v>
      </c>
      <c r="F165" s="78">
        <f>SUMPRODUCT((E5:E154="Wk 7 (02 Jun)")*(G5:G154="Bank Transfer")*(F5:F154))</f>
        <v>0</v>
      </c>
      <c r="G165" s="78">
        <f>SUMPRODUCT((E5:E154="Wk 7 (02 Jun)")*(G5:G154="Cheque")*(F5:F154))</f>
        <v>0</v>
      </c>
      <c r="H165" s="79">
        <f t="shared" si="6"/>
        <v>2200</v>
      </c>
      <c r="I165" s="60">
        <f t="shared" si="7"/>
        <v>7250</v>
      </c>
      <c r="J165" s="77"/>
      <c r="K165" s="80"/>
    </row>
    <row r="166" spans="1:11" ht="15" customHeight="1" x14ac:dyDescent="0.25">
      <c r="A166" s="81" t="s">
        <v>203</v>
      </c>
      <c r="B166" s="74">
        <v>46182</v>
      </c>
      <c r="C166" s="82">
        <f>COUNTIF(E5:E154,"Wk 8 (09 Jun)")</f>
        <v>1</v>
      </c>
      <c r="D166" s="83">
        <f>SUMPRODUCT((E5:E154="Wk 8 (09 Jun)")*(G5:G154="Cash")*(F5:F154))</f>
        <v>0</v>
      </c>
      <c r="E166" s="83">
        <f>SUMPRODUCT((E5:E154="Wk 8 (09 Jun)")*((G5:G154="MTN MoMo")+(G5:G154="Vodafone Cash")+(G5:G154="AirtelTigo Money"))*(F5:F154))</f>
        <v>2000</v>
      </c>
      <c r="F166" s="83">
        <f>SUMPRODUCT((E5:E154="Wk 8 (09 Jun)")*(G5:G154="Bank Transfer")*(F5:F154))</f>
        <v>0</v>
      </c>
      <c r="G166" s="83">
        <f>SUMPRODUCT((E5:E154="Wk 8 (09 Jun)")*(G5:G154="Cheque")*(F5:F154))</f>
        <v>0</v>
      </c>
      <c r="H166" s="84">
        <f t="shared" si="6"/>
        <v>2000</v>
      </c>
      <c r="I166" s="65">
        <f t="shared" si="7"/>
        <v>9250</v>
      </c>
      <c r="J166" s="82"/>
      <c r="K166" s="85"/>
    </row>
    <row r="167" spans="1:11" ht="15" customHeight="1" x14ac:dyDescent="0.25">
      <c r="A167" s="76" t="s">
        <v>204</v>
      </c>
      <c r="B167" s="72">
        <v>46189</v>
      </c>
      <c r="C167" s="77">
        <f>COUNTIF(E5:E154,"Wk 9 (16 Jun)")</f>
        <v>0</v>
      </c>
      <c r="D167" s="78">
        <f>SUMPRODUCT((E5:E154="Wk 9 (16 Jun)")*(G5:G154="Cash")*(F5:F154))</f>
        <v>0</v>
      </c>
      <c r="E167" s="78">
        <f>SUMPRODUCT((E5:E154="Wk 9 (16 Jun)")*((G5:G154="MTN MoMo")+(G5:G154="Vodafone Cash")+(G5:G154="AirtelTigo Money"))*(F5:F154))</f>
        <v>0</v>
      </c>
      <c r="F167" s="78">
        <f>SUMPRODUCT((E5:E154="Wk 9 (16 Jun)")*(G5:G154="Bank Transfer")*(F5:F154))</f>
        <v>0</v>
      </c>
      <c r="G167" s="78">
        <f>SUMPRODUCT((E5:E154="Wk 9 (16 Jun)")*(G5:G154="Cheque")*(F5:F154))</f>
        <v>0</v>
      </c>
      <c r="H167" s="79">
        <f t="shared" si="6"/>
        <v>0</v>
      </c>
      <c r="I167" s="60">
        <f t="shared" si="7"/>
        <v>9250</v>
      </c>
      <c r="J167" s="77"/>
      <c r="K167" s="80"/>
    </row>
    <row r="168" spans="1:11" ht="21.75" customHeight="1" x14ac:dyDescent="0.25">
      <c r="A168" s="81" t="s">
        <v>205</v>
      </c>
      <c r="B168" s="74">
        <v>46196</v>
      </c>
      <c r="C168" s="82">
        <f>COUNTIF(E5:E154,"Wk 10 (23 Jun)")</f>
        <v>0</v>
      </c>
      <c r="D168" s="83">
        <f>SUMPRODUCT((E5:E154="Wk 10 (23 Jun)")*(G5:G154="Cash")*(F5:F154))</f>
        <v>0</v>
      </c>
      <c r="E168" s="83">
        <f>SUMPRODUCT((E5:E154="Wk 10 (23 Jun)")*((G5:G154="MTN MoMo")+(G5:G154="Vodafone Cash")+(G5:G154="AirtelTigo Money"))*(F5:F154))</f>
        <v>0</v>
      </c>
      <c r="F168" s="83">
        <f>SUMPRODUCT((E5:E154="Wk 10 (23 Jun)")*(G5:G154="Bank Transfer")*(F5:F154))</f>
        <v>0</v>
      </c>
      <c r="G168" s="83">
        <f>SUMPRODUCT((E5:E154="Wk 10 (23 Jun)")*(G5:G154="Cheque")*(F5:F154))</f>
        <v>0</v>
      </c>
      <c r="H168" s="84">
        <f t="shared" si="6"/>
        <v>0</v>
      </c>
      <c r="I168" s="65">
        <f t="shared" si="7"/>
        <v>9250</v>
      </c>
      <c r="J168" s="82"/>
      <c r="K168" s="85"/>
    </row>
    <row r="169" spans="1:11" ht="21.75" customHeight="1" x14ac:dyDescent="0.25">
      <c r="A169" s="76" t="s">
        <v>206</v>
      </c>
      <c r="B169" s="72">
        <v>46203</v>
      </c>
      <c r="C169" s="77">
        <f>COUNTIF(E5:E154,"Wk 11 (30 Jun)")</f>
        <v>0</v>
      </c>
      <c r="D169" s="78">
        <f>SUMPRODUCT((E5:E154="Wk 11 (30 Jun)")*(G5:G154="Cash")*(F5:F154))</f>
        <v>0</v>
      </c>
      <c r="E169" s="78">
        <f>SUMPRODUCT((E5:E154="Wk 11 (30 Jun)")*((G5:G154="MTN MoMo")+(G5:G154="Vodafone Cash")+(G5:G154="AirtelTigo Money"))*(F5:F154))</f>
        <v>0</v>
      </c>
      <c r="F169" s="78">
        <f>SUMPRODUCT((E5:E154="Wk 11 (30 Jun)")*(G5:G154="Bank Transfer")*(F5:F154))</f>
        <v>0</v>
      </c>
      <c r="G169" s="78">
        <f>SUMPRODUCT((E5:E154="Wk 11 (30 Jun)")*(G5:G154="Cheque")*(F5:F154))</f>
        <v>0</v>
      </c>
      <c r="H169" s="79">
        <f t="shared" si="6"/>
        <v>0</v>
      </c>
      <c r="I169" s="60">
        <f t="shared" si="7"/>
        <v>9250</v>
      </c>
      <c r="J169" s="77"/>
      <c r="K169" s="80"/>
    </row>
    <row r="170" spans="1:11" ht="18.75" customHeight="1" x14ac:dyDescent="0.25">
      <c r="A170" s="81" t="s">
        <v>207</v>
      </c>
      <c r="B170" s="74">
        <v>46210</v>
      </c>
      <c r="C170" s="82">
        <f>COUNTIF(E5:E154,"Wk 12 (07 Jul)")</f>
        <v>2</v>
      </c>
      <c r="D170" s="83">
        <f>SUMPRODUCT((E5:E154="Wk 12 (07 Jul)")*(G5:G154="Cash")*(F5:F154))</f>
        <v>2200</v>
      </c>
      <c r="E170" s="83">
        <f>SUMPRODUCT((E5:E154="Wk 12 (07 Jul)")*((G5:G154="MTN MoMo")+(G5:G154="Vodafone Cash")+(G5:G154="AirtelTigo Money"))*(F5:F154))</f>
        <v>0</v>
      </c>
      <c r="F170" s="83">
        <f>SUMPRODUCT((E5:E154="Wk 12 (07 Jul)")*(G5:G154="Bank Transfer")*(F5:F154))</f>
        <v>0</v>
      </c>
      <c r="G170" s="83">
        <f>SUMPRODUCT((E5:E154="Wk 12 (07 Jul)")*(G5:G154="Cheque")*(F5:F154))</f>
        <v>0</v>
      </c>
      <c r="H170" s="84">
        <f t="shared" si="6"/>
        <v>2200</v>
      </c>
      <c r="I170" s="65">
        <f t="shared" si="7"/>
        <v>11450</v>
      </c>
      <c r="J170" s="86" t="s">
        <v>208</v>
      </c>
      <c r="K170" s="85"/>
    </row>
    <row r="171" spans="1:11" ht="18.75" customHeight="1" x14ac:dyDescent="0.25">
      <c r="A171" s="76" t="s">
        <v>209</v>
      </c>
      <c r="B171" s="72">
        <v>46217</v>
      </c>
      <c r="C171" s="77">
        <f>COUNTIF(E5:E154,"Wk 13 (14 Jul)")</f>
        <v>2</v>
      </c>
      <c r="D171" s="78">
        <f>SUMPRODUCT((E5:E154="Wk 13 (14 Jul)")*(G5:G154="Cash")*(F5:F154))</f>
        <v>1200</v>
      </c>
      <c r="E171" s="78">
        <f>SUMPRODUCT((E5:E154="Wk 13 (14 Jul)")*((G5:G154="MTN MoMo")+(G5:G154="Vodafone Cash")+(G5:G154="AirtelTigo Money"))*(F5:F154))</f>
        <v>1200</v>
      </c>
      <c r="F171" s="78">
        <f>SUMPRODUCT((E5:E154="Wk 13 (14 Jul)")*(G5:G154="Bank Transfer")*(F5:F154))</f>
        <v>0</v>
      </c>
      <c r="G171" s="78">
        <f>SUMPRODUCT((E5:E154="Wk 13 (14 Jul)")*(G5:G154="Cheque")*(F5:F154))</f>
        <v>0</v>
      </c>
      <c r="H171" s="79">
        <f t="shared" si="6"/>
        <v>2400</v>
      </c>
      <c r="I171" s="60">
        <f t="shared" si="7"/>
        <v>13850</v>
      </c>
      <c r="J171" s="87" t="s">
        <v>208</v>
      </c>
      <c r="K171" s="80"/>
    </row>
    <row r="172" spans="1:11" ht="18.75" customHeight="1" x14ac:dyDescent="0.25">
      <c r="A172" s="81" t="s">
        <v>210</v>
      </c>
      <c r="B172" s="74">
        <v>46224</v>
      </c>
      <c r="C172" s="82">
        <f>COUNTIF(E5:E154,"Wk 14 (21 Jul)")</f>
        <v>1</v>
      </c>
      <c r="D172" s="83">
        <f>SUMPRODUCT((E5:E154="Wk 14 (21 Jul)")*(G5:G154="Cash")*(F5:F154))</f>
        <v>900</v>
      </c>
      <c r="E172" s="83">
        <f>SUMPRODUCT((E5:E154="Wk 14 (21 Jul)")*((G5:G154="MTN MoMo")+(G5:G154="Vodafone Cash")+(G5:G154="AirtelTigo Money"))*(F5:F154))</f>
        <v>0</v>
      </c>
      <c r="F172" s="83">
        <f>SUMPRODUCT((E5:E154="Wk 14 (21 Jul)")*(G5:G154="Bank Transfer")*(F5:F154))</f>
        <v>0</v>
      </c>
      <c r="G172" s="83">
        <f>SUMPRODUCT((E5:E154="Wk 14 (21 Jul)")*(G5:G154="Cheque")*(F5:F154))</f>
        <v>0</v>
      </c>
      <c r="H172" s="84">
        <f t="shared" si="6"/>
        <v>900</v>
      </c>
      <c r="I172" s="65">
        <f t="shared" si="7"/>
        <v>14750</v>
      </c>
      <c r="J172" s="86" t="s">
        <v>208</v>
      </c>
      <c r="K172" s="85"/>
    </row>
    <row r="173" spans="1:11" ht="15" customHeight="1" x14ac:dyDescent="0.25">
      <c r="A173" s="28" t="s">
        <v>211</v>
      </c>
      <c r="B173" s="28"/>
      <c r="C173" s="88">
        <f t="shared" ref="C173:H173" si="8">SUM(C159:C172)</f>
        <v>11</v>
      </c>
      <c r="D173" s="29">
        <f t="shared" si="8"/>
        <v>9350</v>
      </c>
      <c r="E173" s="29">
        <f t="shared" si="8"/>
        <v>5400</v>
      </c>
      <c r="F173" s="29">
        <f t="shared" si="8"/>
        <v>0</v>
      </c>
      <c r="G173" s="29">
        <f t="shared" si="8"/>
        <v>0</v>
      </c>
      <c r="H173" s="29">
        <f t="shared" si="8"/>
        <v>14750</v>
      </c>
      <c r="I173" s="28"/>
      <c r="J173" s="28"/>
      <c r="K173" s="28"/>
    </row>
    <row r="176" spans="1:11" ht="15" customHeight="1" x14ac:dyDescent="0.25">
      <c r="A176" s="144" t="s">
        <v>212</v>
      </c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</row>
    <row r="177" spans="1:11" ht="23.25" customHeight="1" x14ac:dyDescent="0.25">
      <c r="A177" s="8" t="s">
        <v>213</v>
      </c>
      <c r="B177" s="8" t="s">
        <v>214</v>
      </c>
      <c r="C177" s="8" t="s">
        <v>189</v>
      </c>
      <c r="D177" s="8" t="s">
        <v>190</v>
      </c>
      <c r="E177" s="8" t="s">
        <v>191</v>
      </c>
      <c r="F177" s="8" t="s">
        <v>192</v>
      </c>
      <c r="G177" s="8" t="s">
        <v>215</v>
      </c>
      <c r="H177" s="8" t="s">
        <v>194</v>
      </c>
      <c r="I177" s="8" t="s">
        <v>216</v>
      </c>
      <c r="J177" s="8" t="s">
        <v>217</v>
      </c>
      <c r="K177" s="8" t="s">
        <v>36</v>
      </c>
    </row>
    <row r="178" spans="1:11" ht="15" customHeight="1" x14ac:dyDescent="0.25">
      <c r="A178" s="89" t="s">
        <v>218</v>
      </c>
      <c r="B178" s="90" t="e">
        <f>SUMPRODUCT((MONTH(A5:A154)=4)*(A5:A154&lt;&gt;""))</f>
        <v>#VALUE!</v>
      </c>
      <c r="C178" s="78" t="e">
        <f>SUMPRODUCT((MONTH(A5:A154)=4)*(G5:G154="Cash")*(F5:F154))</f>
        <v>#VALUE!</v>
      </c>
      <c r="D178" s="78" t="e">
        <f>SUMPRODUCT((MONTH(A5:A154)=4)*((G5:G154="MTN MoMo")+(G5:G154="Vodafone Cash")+(G5:G154="AirtelTigo Money"))*(F5:F154))</f>
        <v>#VALUE!</v>
      </c>
      <c r="E178" s="78" t="e">
        <f>SUMPRODUCT((MONTH(A5:A154)=4)*(G5:G154="Bank Transfer")*(F5:F154))</f>
        <v>#VALUE!</v>
      </c>
      <c r="F178" s="78" t="e">
        <f>SUMPRODUCT((MONTH(A5:A154)=4)*(G5:G154="Cheque")*(F5:F154))</f>
        <v>#VALUE!</v>
      </c>
      <c r="G178" s="79" t="e">
        <f>SUM(C178:F178)</f>
        <v>#VALUE!</v>
      </c>
      <c r="H178" s="60" t="e">
        <f>G178</f>
        <v>#VALUE!</v>
      </c>
      <c r="I178" s="91">
        <v>0.3</v>
      </c>
      <c r="J178" s="78"/>
      <c r="K178" s="92"/>
    </row>
    <row r="179" spans="1:11" ht="15" customHeight="1" x14ac:dyDescent="0.25">
      <c r="A179" s="93" t="s">
        <v>219</v>
      </c>
      <c r="B179" s="94" t="e">
        <f>SUMPRODUCT((MONTH(A5:A154)=5)*(A5:A154&lt;&gt;""))</f>
        <v>#VALUE!</v>
      </c>
      <c r="C179" s="83" t="e">
        <f>SUMPRODUCT((MONTH(A5:A154)=5)*(G5:G154="Cash")*(F5:F154))</f>
        <v>#VALUE!</v>
      </c>
      <c r="D179" s="83" t="e">
        <f>SUMPRODUCT((MONTH(A5:A154)=5)*((G5:G154="MTN MoMo")+(G5:G154="Vodafone Cash")+(G5:G154="AirtelTigo Money"))*(F5:F154))</f>
        <v>#VALUE!</v>
      </c>
      <c r="E179" s="83" t="e">
        <f>SUMPRODUCT((MONTH(A5:A154)=5)*(G5:G154="Bank Transfer")*(F5:F154))</f>
        <v>#VALUE!</v>
      </c>
      <c r="F179" s="83" t="e">
        <f>SUMPRODUCT((MONTH(A5:A154)=5)*(G5:G154="Cheque")*(F5:F154))</f>
        <v>#VALUE!</v>
      </c>
      <c r="G179" s="84" t="e">
        <f>SUM(C179:F179)</f>
        <v>#VALUE!</v>
      </c>
      <c r="H179" s="65" t="e">
        <f>H178+G179</f>
        <v>#VALUE!</v>
      </c>
      <c r="I179" s="95">
        <v>0.65</v>
      </c>
      <c r="J179" s="83"/>
      <c r="K179" s="96"/>
    </row>
    <row r="180" spans="1:11" ht="15" customHeight="1" x14ac:dyDescent="0.25">
      <c r="A180" s="89" t="s">
        <v>220</v>
      </c>
      <c r="B180" s="90" t="e">
        <f>SUMPRODUCT((MONTH(A5:A154)=6)*(A5:A154&lt;&gt;""))</f>
        <v>#VALUE!</v>
      </c>
      <c r="C180" s="78" t="e">
        <f>SUMPRODUCT((MONTH(A5:A154)=6)*(G5:G154="Cash")*(F5:F154))</f>
        <v>#VALUE!</v>
      </c>
      <c r="D180" s="78" t="e">
        <f>SUMPRODUCT((MONTH(A5:A154)=6)*((G5:G154="MTN MoMo")+(G5:G154="Vodafone Cash")+(G5:G154="AirtelTigo Money"))*(F5:F154))</f>
        <v>#VALUE!</v>
      </c>
      <c r="E180" s="78" t="e">
        <f>SUMPRODUCT((MONTH(A5:A154)=6)*(G5:G154="Bank Transfer")*(F5:F154))</f>
        <v>#VALUE!</v>
      </c>
      <c r="F180" s="78" t="e">
        <f>SUMPRODUCT((MONTH(A5:A154)=6)*(G5:G154="Cheque")*(F5:F154))</f>
        <v>#VALUE!</v>
      </c>
      <c r="G180" s="79" t="e">
        <f>SUM(C180:F180)</f>
        <v>#VALUE!</v>
      </c>
      <c r="H180" s="60" t="e">
        <f>H179+G180</f>
        <v>#VALUE!</v>
      </c>
      <c r="I180" s="91">
        <v>1</v>
      </c>
      <c r="J180" s="78"/>
      <c r="K180" s="92"/>
    </row>
    <row r="181" spans="1:11" ht="15" customHeight="1" x14ac:dyDescent="0.25">
      <c r="A181" s="93" t="s">
        <v>221</v>
      </c>
      <c r="B181" s="94" t="e">
        <f>SUMPRODUCT((MONTH(A5:A154)=7)*(A5:A154&lt;&gt;""))</f>
        <v>#VALUE!</v>
      </c>
      <c r="C181" s="83" t="e">
        <f>SUMPRODUCT((MONTH(A5:A154)=7)*(G5:G154="Cash")*(F5:F154))</f>
        <v>#VALUE!</v>
      </c>
      <c r="D181" s="83" t="e">
        <f>SUMPRODUCT((MONTH(A5:A154)=7)*((G5:G154="MTN MoMo")+(G5:G154="Vodafone Cash")+(G5:G154="AirtelTigo Money"))*(F5:F154))</f>
        <v>#VALUE!</v>
      </c>
      <c r="E181" s="83" t="e">
        <f>SUMPRODUCT((MONTH(A5:A154)=7)*(G5:G154="Bank Transfer")*(F5:F154))</f>
        <v>#VALUE!</v>
      </c>
      <c r="F181" s="83" t="e">
        <f>SUMPRODUCT((MONTH(A5:A154)=7)*(G5:G154="Cheque")*(F5:F154))</f>
        <v>#VALUE!</v>
      </c>
      <c r="G181" s="84" t="e">
        <f>SUM(C181:F181)</f>
        <v>#VALUE!</v>
      </c>
      <c r="H181" s="65" t="e">
        <f>H180+G181</f>
        <v>#VALUE!</v>
      </c>
      <c r="I181" s="95">
        <v>1</v>
      </c>
      <c r="J181" s="83"/>
      <c r="K181" s="96"/>
    </row>
    <row r="182" spans="1:11" ht="15" customHeight="1" x14ac:dyDescent="0.25">
      <c r="A182" s="28" t="s">
        <v>222</v>
      </c>
      <c r="B182" s="88" t="e">
        <f t="shared" ref="B182:G182" si="9">SUM(B178:B181)</f>
        <v>#VALUE!</v>
      </c>
      <c r="C182" s="29" t="e">
        <f t="shared" si="9"/>
        <v>#VALUE!</v>
      </c>
      <c r="D182" s="29" t="e">
        <f t="shared" si="9"/>
        <v>#VALUE!</v>
      </c>
      <c r="E182" s="29" t="e">
        <f t="shared" si="9"/>
        <v>#VALUE!</v>
      </c>
      <c r="F182" s="29" t="e">
        <f t="shared" si="9"/>
        <v>#VALUE!</v>
      </c>
      <c r="G182" s="29" t="e">
        <f t="shared" si="9"/>
        <v>#VALUE!</v>
      </c>
      <c r="H182" s="28"/>
      <c r="I182" s="28"/>
      <c r="J182" s="28"/>
      <c r="K182" s="28"/>
    </row>
  </sheetData>
  <mergeCells count="7">
    <mergeCell ref="A157:K157"/>
    <mergeCell ref="A176:K176"/>
    <mergeCell ref="A1:K1"/>
    <mergeCell ref="A2:K2"/>
    <mergeCell ref="A3:F3"/>
    <mergeCell ref="G3:I3"/>
    <mergeCell ref="J3:K3"/>
  </mergeCells>
  <dataValidations count="6">
    <dataValidation type="list" allowBlank="1" showInputMessage="1" promptTitle="Pupil Name" prompt="Select the pupil making the payment" sqref="C5:C154" xr:uid="{00000000-0002-0000-0F00-000000000000}">
      <formula1>$P$1:$P$8</formula1>
      <formula2>0</formula2>
    </dataValidation>
    <dataValidation type="list" allowBlank="1" showInputMessage="1" promptTitle="Week" prompt="Select the week of payment" sqref="E5:E154" xr:uid="{00000000-0002-0000-0F00-000001000000}">
      <formula1>"Wk 1 (21 Apr),Wk 2 (28 Apr),Wk 3 (05 May),Wk 4 (12 May),Wk 5 (19 May),Wk 6 (26 May),Wk 7 (02 Jun),Wk 8 (09 Jun),Wk 9 (16 Jun),Wk 10 (23 Jun),Wk 11 (30 Jun),Wk 12 (07 Jul),Wk 13 (14 Jul),Wk 14 (21 Jul)"</formula1>
      <formula2>0</formula2>
    </dataValidation>
    <dataValidation type="list" allowBlank="1" sqref="G5:G154" xr:uid="{00000000-0002-0000-0F00-000002000000}">
      <formula1>"Cash,MTN MoMo,Vodafone Cash,AirtelTigo Money,Bank Transfer,Cheque"</formula1>
      <formula2>0</formula2>
    </dataValidation>
    <dataValidation type="list" allowBlank="1" sqref="D5:D154" xr:uid="{00000000-0002-0000-0F00-000003000000}">
      <formula1>"Term 3,Term 2 Arrears,Term 1 Arrears"</formula1>
      <formula2>0</formula2>
    </dataValidation>
    <dataValidation type="list" allowBlank="1" sqref="J5:J154" xr:uid="{00000000-0002-0000-0F00-000004000000}">
      <formula1>"Yes,No,Pending"</formula1>
      <formula2>0</formula2>
    </dataValidation>
    <dataValidation type="list" allowBlank="1" sqref="H5:H154" xr:uid="{00000000-0002-0000-0F00-000005000000}">
      <formula1>"Dorcas Matilda Akosua Kusi,Hannah Ayorkor Laryea,Other"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A6A6A"/>
  </sheetPr>
  <dimension ref="A1:Q22"/>
  <sheetViews>
    <sheetView zoomScaleNormal="100" workbookViewId="0">
      <pane xSplit="2" ySplit="4" topLeftCell="K5" activePane="bottomRight" state="frozen"/>
      <selection pane="topRight" activeCell="C1" sqref="C1"/>
      <selection pane="bottomLeft" activeCell="A5" sqref="A5"/>
      <selection pane="bottomRight" activeCell="M17" sqref="M17"/>
    </sheetView>
  </sheetViews>
  <sheetFormatPr defaultColWidth="8.7109375" defaultRowHeight="15" x14ac:dyDescent="0.25"/>
  <cols>
    <col min="1" max="1" width="5" customWidth="1"/>
    <col min="2" max="2" width="36" customWidth="1"/>
    <col min="3" max="3" width="14" customWidth="1"/>
    <col min="4" max="16" width="13" customWidth="1"/>
    <col min="17" max="17" width="45" customWidth="1"/>
  </cols>
  <sheetData>
    <row r="1" spans="1:17" ht="25.5" customHeight="1" x14ac:dyDescent="0.25">
      <c r="A1" s="146" t="s">
        <v>311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3" spans="1:17" ht="15" customHeight="1" x14ac:dyDescent="0.25">
      <c r="A3" s="120" t="s">
        <v>149</v>
      </c>
      <c r="B3" s="120"/>
      <c r="C3" s="120"/>
      <c r="D3" s="121" t="s">
        <v>150</v>
      </c>
      <c r="E3" s="121"/>
      <c r="F3" s="121"/>
      <c r="G3" s="121"/>
      <c r="H3" s="122" t="s">
        <v>151</v>
      </c>
      <c r="I3" s="122"/>
      <c r="J3" s="122"/>
      <c r="K3" s="122"/>
      <c r="L3" s="122"/>
      <c r="M3" s="123" t="s">
        <v>263</v>
      </c>
      <c r="N3" s="123"/>
      <c r="O3" s="123"/>
      <c r="P3" s="123"/>
      <c r="Q3" s="32" t="s">
        <v>153</v>
      </c>
    </row>
    <row r="4" spans="1:17" ht="27.75" customHeight="1" x14ac:dyDescent="0.25">
      <c r="A4" s="6" t="s">
        <v>87</v>
      </c>
      <c r="B4" s="6" t="s">
        <v>88</v>
      </c>
      <c r="C4" s="6" t="s">
        <v>33</v>
      </c>
      <c r="D4" s="5" t="s">
        <v>154</v>
      </c>
      <c r="E4" s="5" t="s">
        <v>155</v>
      </c>
      <c r="F4" s="5" t="s">
        <v>72</v>
      </c>
      <c r="G4" s="5" t="s">
        <v>73</v>
      </c>
      <c r="H4" s="4" t="s">
        <v>156</v>
      </c>
      <c r="I4" s="4" t="s">
        <v>157</v>
      </c>
      <c r="J4" s="4" t="s">
        <v>76</v>
      </c>
      <c r="K4" s="4" t="s">
        <v>77</v>
      </c>
      <c r="L4" s="4" t="s">
        <v>78</v>
      </c>
      <c r="M4" s="3" t="s">
        <v>80</v>
      </c>
      <c r="N4" s="3" t="s">
        <v>81</v>
      </c>
      <c r="O4" s="3" t="s">
        <v>158</v>
      </c>
      <c r="P4" s="3" t="s">
        <v>159</v>
      </c>
      <c r="Q4" s="32" t="s">
        <v>160</v>
      </c>
    </row>
    <row r="5" spans="1:17" ht="15" customHeight="1" x14ac:dyDescent="0.25">
      <c r="A5" s="57">
        <v>1</v>
      </c>
      <c r="B5" s="58" t="s">
        <v>312</v>
      </c>
      <c r="C5" s="57" t="s">
        <v>48</v>
      </c>
      <c r="D5" s="59">
        <v>1300</v>
      </c>
      <c r="E5" s="59"/>
      <c r="F5" s="59">
        <v>1300</v>
      </c>
      <c r="G5" s="59">
        <f t="shared" ref="G5:G10" si="0">IF(B5="","",IF(D5="",0,D5)+IF(E5="",0,E5)-IF(F5="",0,F5))</f>
        <v>0</v>
      </c>
      <c r="H5" s="59">
        <v>3000</v>
      </c>
      <c r="I5" s="59"/>
      <c r="J5" s="59">
        <v>3000</v>
      </c>
      <c r="K5" s="59"/>
      <c r="L5" s="59">
        <f t="shared" ref="L5:L10" si="1">IF(B5="","",IF(H5="",0,H5)+IF(I5="",0,I5)-IF(J5="",0,J5)-IF(K5="",0,K5))</f>
        <v>0</v>
      </c>
      <c r="M5" s="59">
        <v>3000</v>
      </c>
      <c r="N5" s="59">
        <v>3000</v>
      </c>
      <c r="O5" s="59">
        <f>SUMIF('Grade 3 - Payments'!C5:C154,B5,'Grade 3 - Payments'!F5:F154)</f>
        <v>0</v>
      </c>
      <c r="P5" s="60">
        <f t="shared" ref="P5:P10" si="2">IF(B5="","",IF(M5="",0,M5)-IF(N5="",0,N5)+IF(L5&lt;0,0,IF(L5="",0,L5))-IF(O5="",0,O5))</f>
        <v>0</v>
      </c>
      <c r="Q5" s="61" t="s">
        <v>243</v>
      </c>
    </row>
    <row r="6" spans="1:17" ht="15" customHeight="1" x14ac:dyDescent="0.25">
      <c r="A6" s="62">
        <v>2</v>
      </c>
      <c r="B6" s="63" t="s">
        <v>313</v>
      </c>
      <c r="C6" s="62" t="s">
        <v>98</v>
      </c>
      <c r="D6" s="64">
        <v>3050</v>
      </c>
      <c r="E6" s="64"/>
      <c r="F6" s="64">
        <v>3050</v>
      </c>
      <c r="G6" s="64">
        <f t="shared" si="0"/>
        <v>0</v>
      </c>
      <c r="H6" s="64">
        <v>3000</v>
      </c>
      <c r="I6" s="64"/>
      <c r="J6" s="64">
        <v>150</v>
      </c>
      <c r="K6" s="64">
        <v>2850</v>
      </c>
      <c r="L6" s="64">
        <f t="shared" si="1"/>
        <v>0</v>
      </c>
      <c r="M6" s="64">
        <v>3000</v>
      </c>
      <c r="N6" s="64">
        <v>150</v>
      </c>
      <c r="O6" s="64">
        <v>1500</v>
      </c>
      <c r="P6" s="65">
        <f t="shared" si="2"/>
        <v>1350</v>
      </c>
      <c r="Q6" s="66"/>
    </row>
    <row r="7" spans="1:17" ht="33.6" customHeight="1" x14ac:dyDescent="0.25">
      <c r="A7" s="57">
        <v>3</v>
      </c>
      <c r="B7" s="58" t="s">
        <v>106</v>
      </c>
      <c r="C7" s="57"/>
      <c r="D7" s="59"/>
      <c r="E7" s="59">
        <v>1650</v>
      </c>
      <c r="F7" s="59"/>
      <c r="G7" s="59">
        <f t="shared" si="0"/>
        <v>1650</v>
      </c>
      <c r="H7" s="59"/>
      <c r="I7" s="59">
        <v>1650</v>
      </c>
      <c r="J7" s="59"/>
      <c r="K7" s="59"/>
      <c r="L7" s="59">
        <f t="shared" si="1"/>
        <v>1650</v>
      </c>
      <c r="M7" s="59"/>
      <c r="N7" s="59"/>
      <c r="O7" s="59">
        <f>SUMIF('Grade 3 - Payments'!C5:C154,B7,'Grade 3 - Payments'!F5:F154)</f>
        <v>0</v>
      </c>
      <c r="P7" s="60">
        <f t="shared" si="2"/>
        <v>1650</v>
      </c>
      <c r="Q7" s="61" t="s">
        <v>314</v>
      </c>
    </row>
    <row r="8" spans="1:17" ht="30" customHeight="1" x14ac:dyDescent="0.25">
      <c r="A8" s="62">
        <v>4</v>
      </c>
      <c r="B8" s="63" t="s">
        <v>92</v>
      </c>
      <c r="C8" s="62"/>
      <c r="D8" s="64">
        <v>3500</v>
      </c>
      <c r="E8" s="64"/>
      <c r="F8" s="64">
        <v>700</v>
      </c>
      <c r="G8" s="64">
        <f t="shared" si="0"/>
        <v>2800</v>
      </c>
      <c r="H8" s="64">
        <v>3500</v>
      </c>
      <c r="I8" s="64">
        <v>800</v>
      </c>
      <c r="J8" s="64"/>
      <c r="K8" s="64"/>
      <c r="L8" s="64">
        <f t="shared" si="1"/>
        <v>4300</v>
      </c>
      <c r="M8" s="64">
        <v>3000</v>
      </c>
      <c r="N8" s="64"/>
      <c r="O8" s="64">
        <f>SUMIF('Grade 3 - Payments'!C5:C154,B8,'Grade 3 - Payments'!F5:F154)</f>
        <v>2000</v>
      </c>
      <c r="P8" s="65">
        <f t="shared" si="2"/>
        <v>5300</v>
      </c>
      <c r="Q8" s="66" t="s">
        <v>315</v>
      </c>
    </row>
    <row r="9" spans="1:17" ht="15" customHeight="1" x14ac:dyDescent="0.25">
      <c r="A9" s="57">
        <v>5</v>
      </c>
      <c r="B9" s="58" t="s">
        <v>112</v>
      </c>
      <c r="C9" s="57"/>
      <c r="D9" s="59">
        <v>3200</v>
      </c>
      <c r="E9" s="59"/>
      <c r="F9" s="59">
        <v>1600</v>
      </c>
      <c r="G9" s="59">
        <f t="shared" si="0"/>
        <v>1600</v>
      </c>
      <c r="H9" s="59">
        <v>3000</v>
      </c>
      <c r="I9" s="59">
        <v>600</v>
      </c>
      <c r="J9" s="59"/>
      <c r="K9" s="59">
        <v>2500</v>
      </c>
      <c r="L9" s="59">
        <v>1352.5</v>
      </c>
      <c r="M9" s="59">
        <v>3000</v>
      </c>
      <c r="N9" s="59"/>
      <c r="O9" s="59">
        <v>2800</v>
      </c>
      <c r="P9" s="60">
        <f t="shared" si="2"/>
        <v>1552.5</v>
      </c>
      <c r="Q9" s="61" t="s">
        <v>316</v>
      </c>
    </row>
    <row r="10" spans="1:17" ht="15" customHeight="1" x14ac:dyDescent="0.25">
      <c r="A10" s="62">
        <v>6</v>
      </c>
      <c r="B10" s="63" t="s">
        <v>102</v>
      </c>
      <c r="C10" s="62" t="s">
        <v>98</v>
      </c>
      <c r="D10" s="64">
        <v>3050</v>
      </c>
      <c r="E10" s="64">
        <v>3140</v>
      </c>
      <c r="F10" s="64">
        <v>3600</v>
      </c>
      <c r="G10" s="64">
        <f t="shared" si="0"/>
        <v>2590</v>
      </c>
      <c r="H10" s="64"/>
      <c r="I10" s="64">
        <v>2420</v>
      </c>
      <c r="J10" s="64">
        <v>150</v>
      </c>
      <c r="K10" s="64"/>
      <c r="L10" s="64">
        <f t="shared" si="1"/>
        <v>2270</v>
      </c>
      <c r="M10" s="64"/>
      <c r="N10" s="64"/>
      <c r="O10" s="64">
        <f>SUMIF('Grade 3 - Payments'!C5:C154,B10,'Grade 3 - Payments'!F5:F154)</f>
        <v>750</v>
      </c>
      <c r="P10" s="65">
        <f t="shared" si="2"/>
        <v>1520</v>
      </c>
      <c r="Q10" s="66" t="s">
        <v>317</v>
      </c>
    </row>
    <row r="11" spans="1:17" ht="15" customHeight="1" x14ac:dyDescent="0.25">
      <c r="A11" s="57">
        <v>7</v>
      </c>
      <c r="B11" s="58"/>
      <c r="C11" s="57"/>
      <c r="D11" s="59"/>
      <c r="E11" s="59"/>
      <c r="F11" s="59"/>
      <c r="G11" s="59" t="str">
        <f t="shared" ref="G11:G20" si="3">IF(B11="","",0)</f>
        <v/>
      </c>
      <c r="H11" s="59"/>
      <c r="I11" s="59"/>
      <c r="J11" s="59"/>
      <c r="K11" s="59"/>
      <c r="L11" s="59" t="str">
        <f t="shared" ref="L11:L20" si="4">IF(B11="","",0)</f>
        <v/>
      </c>
      <c r="M11" s="59"/>
      <c r="N11" s="59"/>
      <c r="O11" s="59"/>
      <c r="P11" s="59" t="str">
        <f t="shared" ref="P11:P20" si="5">IF(B11="","",0)</f>
        <v/>
      </c>
      <c r="Q11" s="61"/>
    </row>
    <row r="12" spans="1:17" ht="15" customHeight="1" x14ac:dyDescent="0.25">
      <c r="A12" s="62">
        <v>8</v>
      </c>
      <c r="B12" s="63"/>
      <c r="C12" s="62"/>
      <c r="D12" s="64"/>
      <c r="E12" s="64"/>
      <c r="F12" s="64"/>
      <c r="G12" s="64" t="str">
        <f t="shared" si="3"/>
        <v/>
      </c>
      <c r="H12" s="64"/>
      <c r="I12" s="64"/>
      <c r="J12" s="64"/>
      <c r="K12" s="64"/>
      <c r="L12" s="64" t="str">
        <f t="shared" si="4"/>
        <v/>
      </c>
      <c r="M12" s="64"/>
      <c r="N12" s="64"/>
      <c r="O12" s="64"/>
      <c r="P12" s="64" t="str">
        <f t="shared" si="5"/>
        <v/>
      </c>
      <c r="Q12" s="66"/>
    </row>
    <row r="13" spans="1:17" ht="15" customHeight="1" x14ac:dyDescent="0.25">
      <c r="A13" s="57">
        <v>9</v>
      </c>
      <c r="B13" s="58"/>
      <c r="C13" s="57"/>
      <c r="D13" s="59"/>
      <c r="E13" s="59"/>
      <c r="F13" s="59"/>
      <c r="G13" s="59" t="str">
        <f t="shared" si="3"/>
        <v/>
      </c>
      <c r="H13" s="59"/>
      <c r="I13" s="59"/>
      <c r="J13" s="59"/>
      <c r="K13" s="59"/>
      <c r="L13" s="59" t="str">
        <f t="shared" si="4"/>
        <v/>
      </c>
      <c r="M13" s="59"/>
      <c r="N13" s="59"/>
      <c r="O13" s="59"/>
      <c r="P13" s="59" t="str">
        <f t="shared" si="5"/>
        <v/>
      </c>
      <c r="Q13" s="61"/>
    </row>
    <row r="14" spans="1:17" ht="15" customHeight="1" x14ac:dyDescent="0.25">
      <c r="A14" s="62">
        <v>10</v>
      </c>
      <c r="B14" s="63"/>
      <c r="C14" s="62"/>
      <c r="D14" s="64"/>
      <c r="E14" s="64"/>
      <c r="F14" s="64"/>
      <c r="G14" s="64" t="str">
        <f t="shared" si="3"/>
        <v/>
      </c>
      <c r="H14" s="64"/>
      <c r="I14" s="64"/>
      <c r="J14" s="64"/>
      <c r="K14" s="64"/>
      <c r="L14" s="64" t="str">
        <f t="shared" si="4"/>
        <v/>
      </c>
      <c r="M14" s="64"/>
      <c r="N14" s="64"/>
      <c r="O14" s="64"/>
      <c r="P14" s="64" t="str">
        <f t="shared" si="5"/>
        <v/>
      </c>
      <c r="Q14" s="66"/>
    </row>
    <row r="15" spans="1:17" ht="15" customHeight="1" x14ac:dyDescent="0.25">
      <c r="A15" s="57">
        <v>11</v>
      </c>
      <c r="B15" s="58"/>
      <c r="C15" s="57"/>
      <c r="D15" s="59"/>
      <c r="E15" s="59"/>
      <c r="F15" s="59"/>
      <c r="G15" s="59" t="str">
        <f t="shared" si="3"/>
        <v/>
      </c>
      <c r="H15" s="59"/>
      <c r="I15" s="59"/>
      <c r="J15" s="59"/>
      <c r="K15" s="59"/>
      <c r="L15" s="59" t="str">
        <f t="shared" si="4"/>
        <v/>
      </c>
      <c r="M15" s="59"/>
      <c r="N15" s="59"/>
      <c r="O15" s="59"/>
      <c r="P15" s="59" t="str">
        <f t="shared" si="5"/>
        <v/>
      </c>
      <c r="Q15" s="61"/>
    </row>
    <row r="16" spans="1:17" ht="15" customHeight="1" x14ac:dyDescent="0.25">
      <c r="A16" s="62">
        <v>12</v>
      </c>
      <c r="B16" s="63"/>
      <c r="C16" s="62"/>
      <c r="D16" s="64"/>
      <c r="E16" s="64"/>
      <c r="F16" s="64"/>
      <c r="G16" s="64" t="str">
        <f t="shared" si="3"/>
        <v/>
      </c>
      <c r="H16" s="64"/>
      <c r="I16" s="64"/>
      <c r="J16" s="64"/>
      <c r="K16" s="64"/>
      <c r="L16" s="64" t="str">
        <f t="shared" si="4"/>
        <v/>
      </c>
      <c r="M16" s="64"/>
      <c r="N16" s="64"/>
      <c r="O16" s="64"/>
      <c r="P16" s="64" t="str">
        <f t="shared" si="5"/>
        <v/>
      </c>
      <c r="Q16" s="66"/>
    </row>
    <row r="17" spans="1:17" ht="15" customHeight="1" x14ac:dyDescent="0.25">
      <c r="A17" s="57">
        <v>13</v>
      </c>
      <c r="B17" s="58"/>
      <c r="C17" s="57"/>
      <c r="D17" s="59"/>
      <c r="E17" s="59"/>
      <c r="F17" s="59"/>
      <c r="G17" s="59" t="str">
        <f t="shared" si="3"/>
        <v/>
      </c>
      <c r="H17" s="59"/>
      <c r="I17" s="59"/>
      <c r="J17" s="59"/>
      <c r="K17" s="59"/>
      <c r="L17" s="59" t="str">
        <f t="shared" si="4"/>
        <v/>
      </c>
      <c r="M17" s="59"/>
      <c r="N17" s="59"/>
      <c r="O17" s="59"/>
      <c r="P17" s="59" t="str">
        <f t="shared" si="5"/>
        <v/>
      </c>
      <c r="Q17" s="61"/>
    </row>
    <row r="18" spans="1:17" ht="15" customHeight="1" x14ac:dyDescent="0.25">
      <c r="A18" s="62">
        <v>14</v>
      </c>
      <c r="B18" s="63"/>
      <c r="C18" s="62"/>
      <c r="D18" s="64"/>
      <c r="E18" s="64"/>
      <c r="F18" s="64"/>
      <c r="G18" s="64" t="str">
        <f t="shared" si="3"/>
        <v/>
      </c>
      <c r="H18" s="64"/>
      <c r="I18" s="64"/>
      <c r="J18" s="64"/>
      <c r="K18" s="64"/>
      <c r="L18" s="64" t="str">
        <f t="shared" si="4"/>
        <v/>
      </c>
      <c r="M18" s="64"/>
      <c r="N18" s="64"/>
      <c r="O18" s="64"/>
      <c r="P18" s="64" t="str">
        <f t="shared" si="5"/>
        <v/>
      </c>
      <c r="Q18" s="66"/>
    </row>
    <row r="19" spans="1:17" ht="15" customHeight="1" x14ac:dyDescent="0.25">
      <c r="A19" s="57">
        <v>15</v>
      </c>
      <c r="B19" s="58"/>
      <c r="C19" s="57"/>
      <c r="D19" s="59"/>
      <c r="E19" s="59"/>
      <c r="F19" s="59"/>
      <c r="G19" s="59" t="str">
        <f t="shared" si="3"/>
        <v/>
      </c>
      <c r="H19" s="59"/>
      <c r="I19" s="59"/>
      <c r="J19" s="59"/>
      <c r="K19" s="59"/>
      <c r="L19" s="59" t="str">
        <f t="shared" si="4"/>
        <v/>
      </c>
      <c r="M19" s="59"/>
      <c r="N19" s="59"/>
      <c r="O19" s="59"/>
      <c r="P19" s="59" t="str">
        <f t="shared" si="5"/>
        <v/>
      </c>
      <c r="Q19" s="61"/>
    </row>
    <row r="20" spans="1:17" ht="15" customHeight="1" x14ac:dyDescent="0.25">
      <c r="A20" s="62">
        <v>16</v>
      </c>
      <c r="B20" s="63"/>
      <c r="C20" s="62"/>
      <c r="D20" s="64"/>
      <c r="E20" s="64"/>
      <c r="F20" s="64"/>
      <c r="G20" s="64" t="str">
        <f t="shared" si="3"/>
        <v/>
      </c>
      <c r="H20" s="64"/>
      <c r="I20" s="64"/>
      <c r="J20" s="64"/>
      <c r="K20" s="64"/>
      <c r="L20" s="64" t="str">
        <f t="shared" si="4"/>
        <v/>
      </c>
      <c r="M20" s="64"/>
      <c r="N20" s="64"/>
      <c r="O20" s="64"/>
      <c r="P20" s="64" t="str">
        <f t="shared" si="5"/>
        <v/>
      </c>
      <c r="Q20" s="66"/>
    </row>
    <row r="21" spans="1:17" ht="15" customHeight="1" x14ac:dyDescent="0.25">
      <c r="A21" s="28"/>
      <c r="B21" s="28" t="s">
        <v>84</v>
      </c>
      <c r="C21" s="28"/>
      <c r="D21" s="29">
        <f t="shared" ref="D21:P21" si="6">SUM(D5:D20)</f>
        <v>14100</v>
      </c>
      <c r="E21" s="29">
        <f t="shared" si="6"/>
        <v>4790</v>
      </c>
      <c r="F21" s="29">
        <f t="shared" si="6"/>
        <v>10250</v>
      </c>
      <c r="G21" s="29">
        <f t="shared" si="6"/>
        <v>8640</v>
      </c>
      <c r="H21" s="29">
        <f t="shared" si="6"/>
        <v>12500</v>
      </c>
      <c r="I21" s="29">
        <f t="shared" si="6"/>
        <v>5470</v>
      </c>
      <c r="J21" s="29">
        <f t="shared" si="6"/>
        <v>3300</v>
      </c>
      <c r="K21" s="29">
        <f t="shared" si="6"/>
        <v>5350</v>
      </c>
      <c r="L21" s="29">
        <f t="shared" si="6"/>
        <v>9572.5</v>
      </c>
      <c r="M21" s="29">
        <f t="shared" si="6"/>
        <v>12000</v>
      </c>
      <c r="N21" s="29">
        <f t="shared" si="6"/>
        <v>3150</v>
      </c>
      <c r="O21" s="29">
        <f t="shared" si="6"/>
        <v>7050</v>
      </c>
      <c r="P21" s="29">
        <f t="shared" si="6"/>
        <v>11372.5</v>
      </c>
      <c r="Q21" s="61"/>
    </row>
    <row r="22" spans="1:17" ht="15" customHeight="1" x14ac:dyDescent="0.25">
      <c r="B22" s="67" t="s">
        <v>169</v>
      </c>
      <c r="F22" s="68" t="s">
        <v>170</v>
      </c>
      <c r="G22" s="69">
        <f>IF(D21+E21=0,1,F21/(D21+E21))</f>
        <v>0.54261514028586555</v>
      </c>
      <c r="K22" s="68" t="s">
        <v>171</v>
      </c>
      <c r="L22" s="70">
        <f>IF(H21+I21-J21=0,1,K21/(H21+I21-J21))</f>
        <v>0.36468984321745057</v>
      </c>
      <c r="O22" s="71">
        <f>SUMIF('Grade 3 - Payments'!C5:C154,B22,'Grade 3 - Payments'!F5:F154)</f>
        <v>0</v>
      </c>
      <c r="Q22" s="66"/>
    </row>
  </sheetData>
  <mergeCells count="5">
    <mergeCell ref="A1:O1"/>
    <mergeCell ref="A3:C3"/>
    <mergeCell ref="D3:G3"/>
    <mergeCell ref="H3:L3"/>
    <mergeCell ref="M3:P3"/>
  </mergeCells>
  <dataValidations count="1">
    <dataValidation type="list" allowBlank="1" showInputMessage="1" showErrorMessage="1" errorTitle="Invalid Entry" error="Select from: None, Founding Family, Sibling, Sibling 2nd, Sibling 3rd, Staff Child, or Waiver." promptTitle="Discount Type" prompt="Select discount type or &quot;None&quot; for full-fee pupils." sqref="C5:C20" xr:uid="{00000000-0002-0000-1000-000000000000}">
      <formula1>"None,Founding Family,Sibling,Sibling 2nd,Sibling 3rd,Staff Child,Waiver"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4A6A6A"/>
  </sheetPr>
  <dimension ref="A1:P18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13" sqref="H13"/>
    </sheetView>
  </sheetViews>
  <sheetFormatPr defaultColWidth="8.7109375" defaultRowHeight="15" x14ac:dyDescent="0.25"/>
  <cols>
    <col min="1" max="1" width="12" customWidth="1"/>
    <col min="2" max="2" width="13" customWidth="1"/>
    <col min="3" max="3" width="30" customWidth="1"/>
    <col min="4" max="4" width="15" customWidth="1"/>
    <col min="5" max="5" width="18" customWidth="1"/>
    <col min="6" max="6" width="14" customWidth="1"/>
    <col min="7" max="7" width="20" customWidth="1"/>
    <col min="8" max="8" width="34.28515625" customWidth="1"/>
    <col min="9" max="9" width="14" customWidth="1"/>
    <col min="10" max="10" width="10" customWidth="1"/>
    <col min="11" max="11" width="28" customWidth="1"/>
    <col min="16" max="16" width="13" hidden="1" customWidth="1"/>
  </cols>
  <sheetData>
    <row r="1" spans="1:16" ht="25.5" customHeight="1" x14ac:dyDescent="0.25">
      <c r="A1" s="146" t="s">
        <v>318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P1" t="s">
        <v>312</v>
      </c>
    </row>
    <row r="2" spans="1:16" ht="15" customHeight="1" x14ac:dyDescent="0.25">
      <c r="A2" s="131" t="s">
        <v>173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P2" t="s">
        <v>319</v>
      </c>
    </row>
    <row r="3" spans="1:16" ht="15" customHeight="1" x14ac:dyDescent="0.25">
      <c r="A3" s="132" t="s">
        <v>174</v>
      </c>
      <c r="B3" s="132"/>
      <c r="C3" s="132"/>
      <c r="D3" s="132"/>
      <c r="E3" s="132"/>
      <c r="F3" s="132"/>
      <c r="G3" s="147" t="s">
        <v>175</v>
      </c>
      <c r="H3" s="147"/>
      <c r="I3" s="147"/>
      <c r="J3" s="134" t="s">
        <v>176</v>
      </c>
      <c r="K3" s="134"/>
      <c r="P3" t="s">
        <v>106</v>
      </c>
    </row>
    <row r="4" spans="1:16" ht="25.5" customHeight="1" x14ac:dyDescent="0.25">
      <c r="A4" s="2" t="s">
        <v>177</v>
      </c>
      <c r="B4" s="2" t="s">
        <v>178</v>
      </c>
      <c r="C4" s="2" t="s">
        <v>88</v>
      </c>
      <c r="D4" s="2" t="s">
        <v>179</v>
      </c>
      <c r="E4" s="2" t="s">
        <v>180</v>
      </c>
      <c r="F4" s="2" t="s">
        <v>181</v>
      </c>
      <c r="G4" s="18" t="s">
        <v>182</v>
      </c>
      <c r="H4" s="18" t="s">
        <v>183</v>
      </c>
      <c r="I4" s="18" t="s">
        <v>184</v>
      </c>
      <c r="J4" s="8" t="s">
        <v>185</v>
      </c>
      <c r="K4" s="8" t="s">
        <v>36</v>
      </c>
      <c r="P4" t="s">
        <v>92</v>
      </c>
    </row>
    <row r="5" spans="1:16" ht="15" customHeight="1" x14ac:dyDescent="0.25">
      <c r="A5" s="72">
        <v>46132</v>
      </c>
      <c r="B5" s="57">
        <v>1042</v>
      </c>
      <c r="C5" s="58" t="s">
        <v>319</v>
      </c>
      <c r="D5" s="57" t="s">
        <v>342</v>
      </c>
      <c r="E5" s="57" t="s">
        <v>196</v>
      </c>
      <c r="F5" s="59">
        <v>1500</v>
      </c>
      <c r="G5" s="57" t="s">
        <v>191</v>
      </c>
      <c r="H5" s="58" t="s">
        <v>337</v>
      </c>
      <c r="I5" s="109">
        <f>IF(F5="","",F5)</f>
        <v>1500</v>
      </c>
      <c r="J5" s="57"/>
      <c r="K5" s="58"/>
      <c r="P5" t="s">
        <v>320</v>
      </c>
    </row>
    <row r="6" spans="1:16" ht="15" customHeight="1" x14ac:dyDescent="0.25">
      <c r="A6" s="74">
        <v>46154</v>
      </c>
      <c r="B6" s="62">
        <v>1069</v>
      </c>
      <c r="C6" s="63" t="s">
        <v>92</v>
      </c>
      <c r="D6" s="62" t="s">
        <v>342</v>
      </c>
      <c r="E6" s="62" t="s">
        <v>199</v>
      </c>
      <c r="F6" s="64">
        <v>2000</v>
      </c>
      <c r="G6" s="62" t="s">
        <v>338</v>
      </c>
      <c r="H6" s="63" t="s">
        <v>337</v>
      </c>
      <c r="I6" s="110">
        <f t="shared" ref="I6:I37" si="0">IF(F6="","",IF(I5="",F6,I5+F6))</f>
        <v>3500</v>
      </c>
      <c r="J6" s="62"/>
      <c r="K6" s="63"/>
      <c r="P6" t="s">
        <v>102</v>
      </c>
    </row>
    <row r="7" spans="1:16" ht="15" customHeight="1" x14ac:dyDescent="0.25">
      <c r="A7" s="72">
        <v>46155</v>
      </c>
      <c r="B7" s="57">
        <v>1070</v>
      </c>
      <c r="C7" s="58" t="s">
        <v>320</v>
      </c>
      <c r="D7" s="57" t="s">
        <v>336</v>
      </c>
      <c r="E7" s="57" t="s">
        <v>199</v>
      </c>
      <c r="F7" s="59">
        <v>900</v>
      </c>
      <c r="G7" s="57" t="s">
        <v>338</v>
      </c>
      <c r="H7" s="58" t="s">
        <v>337</v>
      </c>
      <c r="I7" s="109">
        <f t="shared" si="0"/>
        <v>4400</v>
      </c>
      <c r="J7" s="57"/>
      <c r="K7" s="58"/>
    </row>
    <row r="8" spans="1:16" ht="15" customHeight="1" x14ac:dyDescent="0.25">
      <c r="A8" s="74">
        <v>46108</v>
      </c>
      <c r="B8" s="62">
        <v>1021</v>
      </c>
      <c r="C8" s="63" t="s">
        <v>102</v>
      </c>
      <c r="D8" s="62" t="s">
        <v>356</v>
      </c>
      <c r="E8" s="62" t="s">
        <v>357</v>
      </c>
      <c r="F8" s="64">
        <v>500</v>
      </c>
      <c r="G8" s="62" t="s">
        <v>189</v>
      </c>
      <c r="H8" s="63" t="s">
        <v>337</v>
      </c>
      <c r="I8" s="110">
        <f t="shared" si="0"/>
        <v>4900</v>
      </c>
      <c r="J8" s="62"/>
      <c r="K8" s="63"/>
    </row>
    <row r="9" spans="1:16" ht="15" customHeight="1" x14ac:dyDescent="0.25">
      <c r="A9" s="72">
        <v>46163</v>
      </c>
      <c r="B9" s="57">
        <v>1082</v>
      </c>
      <c r="C9" s="58" t="s">
        <v>319</v>
      </c>
      <c r="D9" s="57" t="s">
        <v>342</v>
      </c>
      <c r="E9" s="57" t="s">
        <v>200</v>
      </c>
      <c r="F9" s="59">
        <v>1550</v>
      </c>
      <c r="G9" s="57" t="s">
        <v>191</v>
      </c>
      <c r="H9" s="58" t="s">
        <v>337</v>
      </c>
      <c r="I9" s="109">
        <f t="shared" si="0"/>
        <v>6450</v>
      </c>
      <c r="J9" s="57"/>
      <c r="K9" s="58"/>
    </row>
    <row r="10" spans="1:16" ht="15" customHeight="1" x14ac:dyDescent="0.25">
      <c r="A10" s="74">
        <v>46177</v>
      </c>
      <c r="B10" s="62">
        <v>1108</v>
      </c>
      <c r="C10" s="63" t="s">
        <v>102</v>
      </c>
      <c r="D10" s="62" t="s">
        <v>356</v>
      </c>
      <c r="E10" s="62" t="s">
        <v>202</v>
      </c>
      <c r="F10" s="64">
        <v>250</v>
      </c>
      <c r="G10" s="62" t="s">
        <v>338</v>
      </c>
      <c r="H10" s="63" t="s">
        <v>337</v>
      </c>
      <c r="I10" s="110">
        <f t="shared" si="0"/>
        <v>6700</v>
      </c>
      <c r="J10" s="62"/>
      <c r="K10" s="63"/>
    </row>
    <row r="11" spans="1:16" ht="15" customHeight="1" x14ac:dyDescent="0.25">
      <c r="A11" s="72">
        <v>46185</v>
      </c>
      <c r="B11" s="57">
        <v>1113</v>
      </c>
      <c r="C11" s="58" t="s">
        <v>320</v>
      </c>
      <c r="D11" s="57" t="s">
        <v>342</v>
      </c>
      <c r="E11" s="57" t="s">
        <v>203</v>
      </c>
      <c r="F11" s="59">
        <v>900</v>
      </c>
      <c r="G11" s="57" t="s">
        <v>338</v>
      </c>
      <c r="H11" s="58" t="s">
        <v>343</v>
      </c>
      <c r="I11" s="109">
        <f t="shared" si="0"/>
        <v>7600</v>
      </c>
      <c r="J11" s="57"/>
      <c r="K11" s="58"/>
    </row>
    <row r="12" spans="1:16" ht="15" customHeight="1" x14ac:dyDescent="0.25">
      <c r="A12" s="74" t="s">
        <v>367</v>
      </c>
      <c r="B12" s="62">
        <v>1137</v>
      </c>
      <c r="C12" s="63" t="s">
        <v>320</v>
      </c>
      <c r="D12" s="62" t="s">
        <v>342</v>
      </c>
      <c r="E12" s="62" t="s">
        <v>209</v>
      </c>
      <c r="F12" s="64">
        <v>1000</v>
      </c>
      <c r="G12" s="62" t="s">
        <v>338</v>
      </c>
      <c r="H12" s="63" t="s">
        <v>337</v>
      </c>
      <c r="I12" s="110">
        <f t="shared" si="0"/>
        <v>8600</v>
      </c>
      <c r="J12" s="62"/>
      <c r="K12" s="63"/>
    </row>
    <row r="13" spans="1:16" ht="15" customHeight="1" x14ac:dyDescent="0.25">
      <c r="A13" s="72"/>
      <c r="B13" s="57"/>
      <c r="C13" s="58"/>
      <c r="D13" s="57"/>
      <c r="E13" s="57"/>
      <c r="F13" s="59"/>
      <c r="G13" s="57"/>
      <c r="H13" s="58"/>
      <c r="I13" s="109" t="str">
        <f t="shared" si="0"/>
        <v/>
      </c>
      <c r="J13" s="57"/>
      <c r="K13" s="58"/>
    </row>
    <row r="14" spans="1:16" ht="15" customHeight="1" x14ac:dyDescent="0.25">
      <c r="A14" s="74"/>
      <c r="B14" s="62"/>
      <c r="C14" s="63"/>
      <c r="D14" s="62"/>
      <c r="E14" s="62"/>
      <c r="F14" s="64"/>
      <c r="G14" s="62"/>
      <c r="H14" s="63"/>
      <c r="I14" s="110" t="str">
        <f t="shared" si="0"/>
        <v/>
      </c>
      <c r="J14" s="62"/>
      <c r="K14" s="63"/>
    </row>
    <row r="15" spans="1:16" ht="15" customHeight="1" x14ac:dyDescent="0.25">
      <c r="A15" s="72"/>
      <c r="B15" s="57"/>
      <c r="C15" s="58"/>
      <c r="D15" s="57"/>
      <c r="E15" s="57"/>
      <c r="F15" s="59"/>
      <c r="G15" s="57"/>
      <c r="H15" s="58"/>
      <c r="I15" s="109" t="str">
        <f t="shared" si="0"/>
        <v/>
      </c>
      <c r="J15" s="57"/>
      <c r="K15" s="58"/>
    </row>
    <row r="16" spans="1:16" ht="15" customHeight="1" x14ac:dyDescent="0.25">
      <c r="A16" s="74"/>
      <c r="B16" s="62"/>
      <c r="C16" s="63"/>
      <c r="D16" s="62"/>
      <c r="E16" s="62"/>
      <c r="F16" s="64"/>
      <c r="G16" s="62"/>
      <c r="H16" s="63"/>
      <c r="I16" s="110" t="str">
        <f t="shared" si="0"/>
        <v/>
      </c>
      <c r="J16" s="62"/>
      <c r="K16" s="63"/>
    </row>
    <row r="17" spans="1:11" ht="15" customHeight="1" x14ac:dyDescent="0.25">
      <c r="A17" s="72"/>
      <c r="B17" s="57"/>
      <c r="C17" s="58"/>
      <c r="D17" s="57"/>
      <c r="E17" s="57"/>
      <c r="F17" s="59"/>
      <c r="G17" s="57"/>
      <c r="H17" s="58"/>
      <c r="I17" s="109" t="str">
        <f t="shared" si="0"/>
        <v/>
      </c>
      <c r="J17" s="57"/>
      <c r="K17" s="58"/>
    </row>
    <row r="18" spans="1:11" ht="15" customHeight="1" x14ac:dyDescent="0.25">
      <c r="A18" s="74"/>
      <c r="B18" s="62"/>
      <c r="C18" s="63"/>
      <c r="D18" s="62"/>
      <c r="E18" s="62"/>
      <c r="F18" s="64"/>
      <c r="G18" s="62"/>
      <c r="H18" s="63"/>
      <c r="I18" s="110" t="str">
        <f t="shared" si="0"/>
        <v/>
      </c>
      <c r="J18" s="62"/>
      <c r="K18" s="63"/>
    </row>
    <row r="19" spans="1:11" ht="15" customHeight="1" x14ac:dyDescent="0.25">
      <c r="A19" s="72"/>
      <c r="B19" s="57"/>
      <c r="C19" s="58"/>
      <c r="D19" s="57"/>
      <c r="E19" s="57"/>
      <c r="F19" s="59"/>
      <c r="G19" s="57"/>
      <c r="H19" s="58"/>
      <c r="I19" s="109" t="str">
        <f t="shared" si="0"/>
        <v/>
      </c>
      <c r="J19" s="57"/>
      <c r="K19" s="58"/>
    </row>
    <row r="20" spans="1:11" ht="15" customHeight="1" x14ac:dyDescent="0.25">
      <c r="A20" s="74"/>
      <c r="B20" s="62"/>
      <c r="C20" s="63"/>
      <c r="D20" s="62"/>
      <c r="E20" s="62"/>
      <c r="F20" s="64"/>
      <c r="G20" s="62"/>
      <c r="H20" s="63"/>
      <c r="I20" s="110" t="str">
        <f t="shared" si="0"/>
        <v/>
      </c>
      <c r="J20" s="62"/>
      <c r="K20" s="63"/>
    </row>
    <row r="21" spans="1:11" ht="15" customHeight="1" x14ac:dyDescent="0.25">
      <c r="A21" s="72"/>
      <c r="B21" s="57"/>
      <c r="C21" s="58"/>
      <c r="D21" s="57"/>
      <c r="E21" s="57"/>
      <c r="F21" s="59"/>
      <c r="G21" s="57"/>
      <c r="H21" s="58"/>
      <c r="I21" s="109" t="str">
        <f t="shared" si="0"/>
        <v/>
      </c>
      <c r="J21" s="57"/>
      <c r="K21" s="58"/>
    </row>
    <row r="22" spans="1:11" ht="15" customHeight="1" x14ac:dyDescent="0.25">
      <c r="A22" s="74"/>
      <c r="B22" s="62"/>
      <c r="C22" s="63"/>
      <c r="D22" s="62"/>
      <c r="E22" s="62"/>
      <c r="F22" s="64"/>
      <c r="G22" s="62"/>
      <c r="H22" s="63"/>
      <c r="I22" s="110" t="str">
        <f t="shared" si="0"/>
        <v/>
      </c>
      <c r="J22" s="62"/>
      <c r="K22" s="63"/>
    </row>
    <row r="23" spans="1:11" ht="15" customHeight="1" x14ac:dyDescent="0.25">
      <c r="A23" s="72"/>
      <c r="B23" s="57"/>
      <c r="C23" s="58"/>
      <c r="D23" s="57"/>
      <c r="E23" s="57"/>
      <c r="F23" s="59"/>
      <c r="G23" s="57"/>
      <c r="H23" s="58"/>
      <c r="I23" s="109" t="str">
        <f t="shared" si="0"/>
        <v/>
      </c>
      <c r="J23" s="57"/>
      <c r="K23" s="58"/>
    </row>
    <row r="24" spans="1:11" ht="15" customHeight="1" x14ac:dyDescent="0.25">
      <c r="A24" s="74"/>
      <c r="B24" s="62"/>
      <c r="C24" s="63"/>
      <c r="D24" s="62"/>
      <c r="E24" s="62"/>
      <c r="F24" s="64"/>
      <c r="G24" s="62"/>
      <c r="H24" s="63"/>
      <c r="I24" s="110" t="str">
        <f t="shared" si="0"/>
        <v/>
      </c>
      <c r="J24" s="62"/>
      <c r="K24" s="63"/>
    </row>
    <row r="25" spans="1:11" ht="15" customHeight="1" x14ac:dyDescent="0.25">
      <c r="A25" s="72"/>
      <c r="B25" s="57"/>
      <c r="C25" s="58"/>
      <c r="D25" s="57"/>
      <c r="E25" s="57"/>
      <c r="F25" s="59"/>
      <c r="G25" s="57"/>
      <c r="H25" s="58"/>
      <c r="I25" s="109" t="str">
        <f t="shared" si="0"/>
        <v/>
      </c>
      <c r="J25" s="57"/>
      <c r="K25" s="58"/>
    </row>
    <row r="26" spans="1:11" ht="15" customHeight="1" x14ac:dyDescent="0.25">
      <c r="A26" s="74"/>
      <c r="B26" s="62"/>
      <c r="C26" s="63"/>
      <c r="D26" s="62"/>
      <c r="E26" s="62"/>
      <c r="F26" s="64"/>
      <c r="G26" s="62"/>
      <c r="H26" s="63"/>
      <c r="I26" s="110" t="str">
        <f t="shared" si="0"/>
        <v/>
      </c>
      <c r="J26" s="62"/>
      <c r="K26" s="63"/>
    </row>
    <row r="27" spans="1:11" ht="15" customHeight="1" x14ac:dyDescent="0.25">
      <c r="A27" s="72"/>
      <c r="B27" s="57"/>
      <c r="C27" s="58"/>
      <c r="D27" s="57"/>
      <c r="E27" s="57"/>
      <c r="F27" s="59"/>
      <c r="G27" s="57"/>
      <c r="H27" s="58"/>
      <c r="I27" s="109" t="str">
        <f t="shared" si="0"/>
        <v/>
      </c>
      <c r="J27" s="57"/>
      <c r="K27" s="58"/>
    </row>
    <row r="28" spans="1:11" ht="15" customHeight="1" x14ac:dyDescent="0.25">
      <c r="A28" s="74"/>
      <c r="B28" s="62"/>
      <c r="C28" s="63"/>
      <c r="D28" s="62"/>
      <c r="E28" s="62"/>
      <c r="F28" s="64"/>
      <c r="G28" s="62"/>
      <c r="H28" s="63"/>
      <c r="I28" s="110" t="str">
        <f t="shared" si="0"/>
        <v/>
      </c>
      <c r="J28" s="62"/>
      <c r="K28" s="63"/>
    </row>
    <row r="29" spans="1:11" ht="15" customHeight="1" x14ac:dyDescent="0.25">
      <c r="A29" s="72"/>
      <c r="B29" s="57"/>
      <c r="C29" s="58"/>
      <c r="D29" s="57"/>
      <c r="E29" s="57"/>
      <c r="F29" s="59"/>
      <c r="G29" s="57"/>
      <c r="H29" s="58"/>
      <c r="I29" s="109" t="str">
        <f t="shared" si="0"/>
        <v/>
      </c>
      <c r="J29" s="57"/>
      <c r="K29" s="58"/>
    </row>
    <row r="30" spans="1:11" ht="15" customHeight="1" x14ac:dyDescent="0.25">
      <c r="A30" s="74"/>
      <c r="B30" s="62"/>
      <c r="C30" s="63"/>
      <c r="D30" s="62"/>
      <c r="E30" s="62"/>
      <c r="F30" s="64"/>
      <c r="G30" s="62"/>
      <c r="H30" s="63"/>
      <c r="I30" s="110" t="str">
        <f t="shared" si="0"/>
        <v/>
      </c>
      <c r="J30" s="62"/>
      <c r="K30" s="63"/>
    </row>
    <row r="31" spans="1:11" ht="15" customHeight="1" x14ac:dyDescent="0.25">
      <c r="A31" s="72"/>
      <c r="B31" s="57"/>
      <c r="C31" s="58"/>
      <c r="D31" s="57"/>
      <c r="E31" s="57"/>
      <c r="F31" s="59"/>
      <c r="G31" s="57"/>
      <c r="H31" s="58"/>
      <c r="I31" s="109" t="str">
        <f t="shared" si="0"/>
        <v/>
      </c>
      <c r="J31" s="57"/>
      <c r="K31" s="58"/>
    </row>
    <row r="32" spans="1:11" ht="15" customHeight="1" x14ac:dyDescent="0.25">
      <c r="A32" s="74"/>
      <c r="B32" s="62"/>
      <c r="C32" s="63"/>
      <c r="D32" s="62"/>
      <c r="E32" s="62"/>
      <c r="F32" s="64"/>
      <c r="G32" s="62"/>
      <c r="H32" s="63"/>
      <c r="I32" s="110" t="str">
        <f t="shared" si="0"/>
        <v/>
      </c>
      <c r="J32" s="62"/>
      <c r="K32" s="63"/>
    </row>
    <row r="33" spans="1:11" ht="15" customHeight="1" x14ac:dyDescent="0.25">
      <c r="A33" s="72"/>
      <c r="B33" s="57"/>
      <c r="C33" s="58"/>
      <c r="D33" s="57"/>
      <c r="E33" s="57"/>
      <c r="F33" s="59"/>
      <c r="G33" s="57"/>
      <c r="H33" s="58"/>
      <c r="I33" s="109" t="str">
        <f t="shared" si="0"/>
        <v/>
      </c>
      <c r="J33" s="57"/>
      <c r="K33" s="58"/>
    </row>
    <row r="34" spans="1:11" ht="15" customHeight="1" x14ac:dyDescent="0.25">
      <c r="A34" s="74"/>
      <c r="B34" s="62"/>
      <c r="C34" s="63"/>
      <c r="D34" s="62"/>
      <c r="E34" s="62"/>
      <c r="F34" s="64"/>
      <c r="G34" s="62"/>
      <c r="H34" s="63"/>
      <c r="I34" s="110" t="str">
        <f t="shared" si="0"/>
        <v/>
      </c>
      <c r="J34" s="62"/>
      <c r="K34" s="63"/>
    </row>
    <row r="35" spans="1:11" ht="15" customHeight="1" x14ac:dyDescent="0.25">
      <c r="A35" s="72"/>
      <c r="B35" s="57"/>
      <c r="C35" s="58"/>
      <c r="D35" s="57"/>
      <c r="E35" s="57"/>
      <c r="F35" s="59"/>
      <c r="G35" s="57"/>
      <c r="H35" s="58"/>
      <c r="I35" s="109" t="str">
        <f t="shared" si="0"/>
        <v/>
      </c>
      <c r="J35" s="57"/>
      <c r="K35" s="58"/>
    </row>
    <row r="36" spans="1:11" ht="15" customHeight="1" x14ac:dyDescent="0.25">
      <c r="A36" s="74"/>
      <c r="B36" s="62"/>
      <c r="C36" s="63"/>
      <c r="D36" s="62"/>
      <c r="E36" s="62"/>
      <c r="F36" s="64"/>
      <c r="G36" s="62"/>
      <c r="H36" s="63"/>
      <c r="I36" s="110" t="str">
        <f t="shared" si="0"/>
        <v/>
      </c>
      <c r="J36" s="62"/>
      <c r="K36" s="63"/>
    </row>
    <row r="37" spans="1:11" ht="15" customHeight="1" x14ac:dyDescent="0.25">
      <c r="A37" s="72"/>
      <c r="B37" s="57"/>
      <c r="C37" s="58"/>
      <c r="D37" s="57"/>
      <c r="E37" s="57"/>
      <c r="F37" s="59"/>
      <c r="G37" s="57"/>
      <c r="H37" s="58"/>
      <c r="I37" s="109" t="str">
        <f t="shared" si="0"/>
        <v/>
      </c>
      <c r="J37" s="57"/>
      <c r="K37" s="58"/>
    </row>
    <row r="38" spans="1:11" ht="15" customHeight="1" x14ac:dyDescent="0.25">
      <c r="A38" s="74"/>
      <c r="B38" s="62"/>
      <c r="C38" s="63"/>
      <c r="D38" s="62"/>
      <c r="E38" s="62"/>
      <c r="F38" s="64"/>
      <c r="G38" s="62"/>
      <c r="H38" s="63"/>
      <c r="I38" s="110" t="str">
        <f t="shared" ref="I38:I69" si="1">IF(F38="","",IF(I37="",F38,I37+F38))</f>
        <v/>
      </c>
      <c r="J38" s="62"/>
      <c r="K38" s="63"/>
    </row>
    <row r="39" spans="1:11" ht="15" customHeight="1" x14ac:dyDescent="0.25">
      <c r="A39" s="72"/>
      <c r="B39" s="57"/>
      <c r="C39" s="58"/>
      <c r="D39" s="57"/>
      <c r="E39" s="57"/>
      <c r="F39" s="59"/>
      <c r="G39" s="57"/>
      <c r="H39" s="58"/>
      <c r="I39" s="109" t="str">
        <f t="shared" si="1"/>
        <v/>
      </c>
      <c r="J39" s="57"/>
      <c r="K39" s="58"/>
    </row>
    <row r="40" spans="1:11" ht="15" customHeight="1" x14ac:dyDescent="0.25">
      <c r="A40" s="74"/>
      <c r="B40" s="62"/>
      <c r="C40" s="63"/>
      <c r="D40" s="62"/>
      <c r="E40" s="62"/>
      <c r="F40" s="64"/>
      <c r="G40" s="62"/>
      <c r="H40" s="63"/>
      <c r="I40" s="110" t="str">
        <f t="shared" si="1"/>
        <v/>
      </c>
      <c r="J40" s="62"/>
      <c r="K40" s="63"/>
    </row>
    <row r="41" spans="1:11" ht="15" customHeight="1" x14ac:dyDescent="0.25">
      <c r="A41" s="72"/>
      <c r="B41" s="57"/>
      <c r="C41" s="58"/>
      <c r="D41" s="57"/>
      <c r="E41" s="57"/>
      <c r="F41" s="59"/>
      <c r="G41" s="57"/>
      <c r="H41" s="58"/>
      <c r="I41" s="109" t="str">
        <f t="shared" si="1"/>
        <v/>
      </c>
      <c r="J41" s="57"/>
      <c r="K41" s="58"/>
    </row>
    <row r="42" spans="1:11" ht="15" customHeight="1" x14ac:dyDescent="0.25">
      <c r="A42" s="74"/>
      <c r="B42" s="62"/>
      <c r="C42" s="63"/>
      <c r="D42" s="62"/>
      <c r="E42" s="62"/>
      <c r="F42" s="64"/>
      <c r="G42" s="62"/>
      <c r="H42" s="63"/>
      <c r="I42" s="110" t="str">
        <f t="shared" si="1"/>
        <v/>
      </c>
      <c r="J42" s="62"/>
      <c r="K42" s="63"/>
    </row>
    <row r="43" spans="1:11" ht="15" customHeight="1" x14ac:dyDescent="0.25">
      <c r="A43" s="72"/>
      <c r="B43" s="57"/>
      <c r="C43" s="58"/>
      <c r="D43" s="57"/>
      <c r="E43" s="57"/>
      <c r="F43" s="59"/>
      <c r="G43" s="57"/>
      <c r="H43" s="58"/>
      <c r="I43" s="109" t="str">
        <f t="shared" si="1"/>
        <v/>
      </c>
      <c r="J43" s="57"/>
      <c r="K43" s="58"/>
    </row>
    <row r="44" spans="1:11" ht="15" customHeight="1" x14ac:dyDescent="0.25">
      <c r="A44" s="74"/>
      <c r="B44" s="62"/>
      <c r="C44" s="63"/>
      <c r="D44" s="62"/>
      <c r="E44" s="62"/>
      <c r="F44" s="64"/>
      <c r="G44" s="62"/>
      <c r="H44" s="63"/>
      <c r="I44" s="110" t="str">
        <f t="shared" si="1"/>
        <v/>
      </c>
      <c r="J44" s="62"/>
      <c r="K44" s="63"/>
    </row>
    <row r="45" spans="1:11" ht="15" customHeight="1" x14ac:dyDescent="0.25">
      <c r="A45" s="72"/>
      <c r="B45" s="57"/>
      <c r="C45" s="58"/>
      <c r="D45" s="57"/>
      <c r="E45" s="57"/>
      <c r="F45" s="59"/>
      <c r="G45" s="57"/>
      <c r="H45" s="58"/>
      <c r="I45" s="109" t="str">
        <f t="shared" si="1"/>
        <v/>
      </c>
      <c r="J45" s="57"/>
      <c r="K45" s="58"/>
    </row>
    <row r="46" spans="1:11" ht="15" customHeight="1" x14ac:dyDescent="0.25">
      <c r="A46" s="74"/>
      <c r="B46" s="62"/>
      <c r="C46" s="63"/>
      <c r="D46" s="62"/>
      <c r="E46" s="62"/>
      <c r="F46" s="64"/>
      <c r="G46" s="62"/>
      <c r="H46" s="63"/>
      <c r="I46" s="110" t="str">
        <f t="shared" si="1"/>
        <v/>
      </c>
      <c r="J46" s="62"/>
      <c r="K46" s="63"/>
    </row>
    <row r="47" spans="1:11" ht="15" customHeight="1" x14ac:dyDescent="0.25">
      <c r="A47" s="72"/>
      <c r="B47" s="57"/>
      <c r="C47" s="58"/>
      <c r="D47" s="57"/>
      <c r="E47" s="57"/>
      <c r="F47" s="59"/>
      <c r="G47" s="57"/>
      <c r="H47" s="58"/>
      <c r="I47" s="109" t="str">
        <f t="shared" si="1"/>
        <v/>
      </c>
      <c r="J47" s="57"/>
      <c r="K47" s="58"/>
    </row>
    <row r="48" spans="1:11" ht="15" customHeight="1" x14ac:dyDescent="0.25">
      <c r="A48" s="74"/>
      <c r="B48" s="62"/>
      <c r="C48" s="63"/>
      <c r="D48" s="62"/>
      <c r="E48" s="62"/>
      <c r="F48" s="64"/>
      <c r="G48" s="62"/>
      <c r="H48" s="63"/>
      <c r="I48" s="110" t="str">
        <f t="shared" si="1"/>
        <v/>
      </c>
      <c r="J48" s="62"/>
      <c r="K48" s="63"/>
    </row>
    <row r="49" spans="1:11" ht="15" customHeight="1" x14ac:dyDescent="0.25">
      <c r="A49" s="72"/>
      <c r="B49" s="57"/>
      <c r="C49" s="58"/>
      <c r="D49" s="57"/>
      <c r="E49" s="57"/>
      <c r="F49" s="59"/>
      <c r="G49" s="57"/>
      <c r="H49" s="58"/>
      <c r="I49" s="109" t="str">
        <f t="shared" si="1"/>
        <v/>
      </c>
      <c r="J49" s="57"/>
      <c r="K49" s="58"/>
    </row>
    <row r="50" spans="1:11" ht="15" customHeight="1" x14ac:dyDescent="0.25">
      <c r="A50" s="74"/>
      <c r="B50" s="62"/>
      <c r="C50" s="63"/>
      <c r="D50" s="62"/>
      <c r="E50" s="62"/>
      <c r="F50" s="64"/>
      <c r="G50" s="62"/>
      <c r="H50" s="63"/>
      <c r="I50" s="110" t="str">
        <f t="shared" si="1"/>
        <v/>
      </c>
      <c r="J50" s="62"/>
      <c r="K50" s="63"/>
    </row>
    <row r="51" spans="1:11" ht="15" customHeight="1" x14ac:dyDescent="0.25">
      <c r="A51" s="72"/>
      <c r="B51" s="57"/>
      <c r="C51" s="58"/>
      <c r="D51" s="57"/>
      <c r="E51" s="57"/>
      <c r="F51" s="59"/>
      <c r="G51" s="57"/>
      <c r="H51" s="58"/>
      <c r="I51" s="109" t="str">
        <f t="shared" si="1"/>
        <v/>
      </c>
      <c r="J51" s="57"/>
      <c r="K51" s="58"/>
    </row>
    <row r="52" spans="1:11" ht="15" customHeight="1" x14ac:dyDescent="0.25">
      <c r="A52" s="74"/>
      <c r="B52" s="62"/>
      <c r="C52" s="63"/>
      <c r="D52" s="62"/>
      <c r="E52" s="62"/>
      <c r="F52" s="64"/>
      <c r="G52" s="62"/>
      <c r="H52" s="63"/>
      <c r="I52" s="110" t="str">
        <f t="shared" si="1"/>
        <v/>
      </c>
      <c r="J52" s="62"/>
      <c r="K52" s="63"/>
    </row>
    <row r="53" spans="1:11" ht="15" customHeight="1" x14ac:dyDescent="0.25">
      <c r="A53" s="72"/>
      <c r="B53" s="57"/>
      <c r="C53" s="58"/>
      <c r="D53" s="57"/>
      <c r="E53" s="57"/>
      <c r="F53" s="59"/>
      <c r="G53" s="57"/>
      <c r="H53" s="58"/>
      <c r="I53" s="109" t="str">
        <f t="shared" si="1"/>
        <v/>
      </c>
      <c r="J53" s="57"/>
      <c r="K53" s="58"/>
    </row>
    <row r="54" spans="1:11" ht="15" customHeight="1" x14ac:dyDescent="0.25">
      <c r="A54" s="74"/>
      <c r="B54" s="62"/>
      <c r="C54" s="63"/>
      <c r="D54" s="62"/>
      <c r="E54" s="62"/>
      <c r="F54" s="64"/>
      <c r="G54" s="62"/>
      <c r="H54" s="63"/>
      <c r="I54" s="110" t="str">
        <f t="shared" si="1"/>
        <v/>
      </c>
      <c r="J54" s="62"/>
      <c r="K54" s="63"/>
    </row>
    <row r="55" spans="1:11" ht="15" customHeight="1" x14ac:dyDescent="0.25">
      <c r="A55" s="72"/>
      <c r="B55" s="57"/>
      <c r="C55" s="58"/>
      <c r="D55" s="57"/>
      <c r="E55" s="57"/>
      <c r="F55" s="59"/>
      <c r="G55" s="57"/>
      <c r="H55" s="58"/>
      <c r="I55" s="109" t="str">
        <f t="shared" si="1"/>
        <v/>
      </c>
      <c r="J55" s="57"/>
      <c r="K55" s="58"/>
    </row>
    <row r="56" spans="1:11" ht="15" customHeight="1" x14ac:dyDescent="0.25">
      <c r="A56" s="74"/>
      <c r="B56" s="62"/>
      <c r="C56" s="63"/>
      <c r="D56" s="62"/>
      <c r="E56" s="62"/>
      <c r="F56" s="64"/>
      <c r="G56" s="62"/>
      <c r="H56" s="63"/>
      <c r="I56" s="110" t="str">
        <f t="shared" si="1"/>
        <v/>
      </c>
      <c r="J56" s="62"/>
      <c r="K56" s="63"/>
    </row>
    <row r="57" spans="1:11" ht="15" customHeight="1" x14ac:dyDescent="0.25">
      <c r="A57" s="72"/>
      <c r="B57" s="57"/>
      <c r="C57" s="58"/>
      <c r="D57" s="57"/>
      <c r="E57" s="57"/>
      <c r="F57" s="59"/>
      <c r="G57" s="57"/>
      <c r="H57" s="58"/>
      <c r="I57" s="109" t="str">
        <f t="shared" si="1"/>
        <v/>
      </c>
      <c r="J57" s="57"/>
      <c r="K57" s="58"/>
    </row>
    <row r="58" spans="1:11" ht="15" customHeight="1" x14ac:dyDescent="0.25">
      <c r="A58" s="74"/>
      <c r="B58" s="62"/>
      <c r="C58" s="63"/>
      <c r="D58" s="62"/>
      <c r="E58" s="62"/>
      <c r="F58" s="64"/>
      <c r="G58" s="62"/>
      <c r="H58" s="63"/>
      <c r="I58" s="110" t="str">
        <f t="shared" si="1"/>
        <v/>
      </c>
      <c r="J58" s="62"/>
      <c r="K58" s="63"/>
    </row>
    <row r="59" spans="1:11" ht="15" customHeight="1" x14ac:dyDescent="0.25">
      <c r="A59" s="72"/>
      <c r="B59" s="57"/>
      <c r="C59" s="58"/>
      <c r="D59" s="57"/>
      <c r="E59" s="57"/>
      <c r="F59" s="59"/>
      <c r="G59" s="57"/>
      <c r="H59" s="58"/>
      <c r="I59" s="109" t="str">
        <f t="shared" si="1"/>
        <v/>
      </c>
      <c r="J59" s="57"/>
      <c r="K59" s="58"/>
    </row>
    <row r="60" spans="1:11" ht="15" customHeight="1" x14ac:dyDescent="0.25">
      <c r="A60" s="74"/>
      <c r="B60" s="62"/>
      <c r="C60" s="63"/>
      <c r="D60" s="62"/>
      <c r="E60" s="62"/>
      <c r="F60" s="64"/>
      <c r="G60" s="62"/>
      <c r="H60" s="63"/>
      <c r="I60" s="110" t="str">
        <f t="shared" si="1"/>
        <v/>
      </c>
      <c r="J60" s="62"/>
      <c r="K60" s="63"/>
    </row>
    <row r="61" spans="1:11" ht="15" customHeight="1" x14ac:dyDescent="0.25">
      <c r="A61" s="72"/>
      <c r="B61" s="57"/>
      <c r="C61" s="58"/>
      <c r="D61" s="57"/>
      <c r="E61" s="57"/>
      <c r="F61" s="59"/>
      <c r="G61" s="57"/>
      <c r="H61" s="58"/>
      <c r="I61" s="109" t="str">
        <f t="shared" si="1"/>
        <v/>
      </c>
      <c r="J61" s="57"/>
      <c r="K61" s="58"/>
    </row>
    <row r="62" spans="1:11" ht="15" customHeight="1" x14ac:dyDescent="0.25">
      <c r="A62" s="74"/>
      <c r="B62" s="62"/>
      <c r="C62" s="63"/>
      <c r="D62" s="62"/>
      <c r="E62" s="62"/>
      <c r="F62" s="64"/>
      <c r="G62" s="62"/>
      <c r="H62" s="63"/>
      <c r="I62" s="110" t="str">
        <f t="shared" si="1"/>
        <v/>
      </c>
      <c r="J62" s="62"/>
      <c r="K62" s="63"/>
    </row>
    <row r="63" spans="1:11" ht="15" customHeight="1" x14ac:dyDescent="0.25">
      <c r="A63" s="72"/>
      <c r="B63" s="57"/>
      <c r="C63" s="58"/>
      <c r="D63" s="57"/>
      <c r="E63" s="57"/>
      <c r="F63" s="59"/>
      <c r="G63" s="57"/>
      <c r="H63" s="58"/>
      <c r="I63" s="109" t="str">
        <f t="shared" si="1"/>
        <v/>
      </c>
      <c r="J63" s="57"/>
      <c r="K63" s="58"/>
    </row>
    <row r="64" spans="1:11" ht="15" customHeight="1" x14ac:dyDescent="0.25">
      <c r="A64" s="74"/>
      <c r="B64" s="62"/>
      <c r="C64" s="63"/>
      <c r="D64" s="62"/>
      <c r="E64" s="62"/>
      <c r="F64" s="64"/>
      <c r="G64" s="62"/>
      <c r="H64" s="63"/>
      <c r="I64" s="110" t="str">
        <f t="shared" si="1"/>
        <v/>
      </c>
      <c r="J64" s="62"/>
      <c r="K64" s="63"/>
    </row>
    <row r="65" spans="1:11" ht="15" customHeight="1" x14ac:dyDescent="0.25">
      <c r="A65" s="72"/>
      <c r="B65" s="57"/>
      <c r="C65" s="58"/>
      <c r="D65" s="57"/>
      <c r="E65" s="57"/>
      <c r="F65" s="59"/>
      <c r="G65" s="57"/>
      <c r="H65" s="58"/>
      <c r="I65" s="109" t="str">
        <f t="shared" si="1"/>
        <v/>
      </c>
      <c r="J65" s="57"/>
      <c r="K65" s="58"/>
    </row>
    <row r="66" spans="1:11" ht="15" customHeight="1" x14ac:dyDescent="0.25">
      <c r="A66" s="74"/>
      <c r="B66" s="62"/>
      <c r="C66" s="63"/>
      <c r="D66" s="62"/>
      <c r="E66" s="62"/>
      <c r="F66" s="64"/>
      <c r="G66" s="62"/>
      <c r="H66" s="63"/>
      <c r="I66" s="110" t="str">
        <f t="shared" si="1"/>
        <v/>
      </c>
      <c r="J66" s="62"/>
      <c r="K66" s="63"/>
    </row>
    <row r="67" spans="1:11" ht="15" customHeight="1" x14ac:dyDescent="0.25">
      <c r="A67" s="72"/>
      <c r="B67" s="57"/>
      <c r="C67" s="58"/>
      <c r="D67" s="57"/>
      <c r="E67" s="57"/>
      <c r="F67" s="59"/>
      <c r="G67" s="57"/>
      <c r="H67" s="58"/>
      <c r="I67" s="109" t="str">
        <f t="shared" si="1"/>
        <v/>
      </c>
      <c r="J67" s="57"/>
      <c r="K67" s="58"/>
    </row>
    <row r="68" spans="1:11" ht="15" customHeight="1" x14ac:dyDescent="0.25">
      <c r="A68" s="74"/>
      <c r="B68" s="62"/>
      <c r="C68" s="63"/>
      <c r="D68" s="62"/>
      <c r="E68" s="62"/>
      <c r="F68" s="64"/>
      <c r="G68" s="62"/>
      <c r="H68" s="63"/>
      <c r="I68" s="110" t="str">
        <f t="shared" si="1"/>
        <v/>
      </c>
      <c r="J68" s="62"/>
      <c r="K68" s="63"/>
    </row>
    <row r="69" spans="1:11" ht="15" customHeight="1" x14ac:dyDescent="0.25">
      <c r="A69" s="72"/>
      <c r="B69" s="57"/>
      <c r="C69" s="58"/>
      <c r="D69" s="57"/>
      <c r="E69" s="57"/>
      <c r="F69" s="59"/>
      <c r="G69" s="57"/>
      <c r="H69" s="58"/>
      <c r="I69" s="109" t="str">
        <f t="shared" si="1"/>
        <v/>
      </c>
      <c r="J69" s="57"/>
      <c r="K69" s="58"/>
    </row>
    <row r="70" spans="1:11" ht="15" customHeight="1" x14ac:dyDescent="0.25">
      <c r="A70" s="74"/>
      <c r="B70" s="62"/>
      <c r="C70" s="63"/>
      <c r="D70" s="62"/>
      <c r="E70" s="62"/>
      <c r="F70" s="64"/>
      <c r="G70" s="62"/>
      <c r="H70" s="63"/>
      <c r="I70" s="110" t="str">
        <f t="shared" ref="I70:I101" si="2">IF(F70="","",IF(I69="",F70,I69+F70))</f>
        <v/>
      </c>
      <c r="J70" s="62"/>
      <c r="K70" s="63"/>
    </row>
    <row r="71" spans="1:11" ht="15" customHeight="1" x14ac:dyDescent="0.25">
      <c r="A71" s="72"/>
      <c r="B71" s="57"/>
      <c r="C71" s="58"/>
      <c r="D71" s="57"/>
      <c r="E71" s="57"/>
      <c r="F71" s="59"/>
      <c r="G71" s="57"/>
      <c r="H71" s="58"/>
      <c r="I71" s="109" t="str">
        <f t="shared" si="2"/>
        <v/>
      </c>
      <c r="J71" s="57"/>
      <c r="K71" s="58"/>
    </row>
    <row r="72" spans="1:11" ht="15" customHeight="1" x14ac:dyDescent="0.25">
      <c r="A72" s="74"/>
      <c r="B72" s="62"/>
      <c r="C72" s="63"/>
      <c r="D72" s="62"/>
      <c r="E72" s="62"/>
      <c r="F72" s="64"/>
      <c r="G72" s="62"/>
      <c r="H72" s="63"/>
      <c r="I72" s="110" t="str">
        <f t="shared" si="2"/>
        <v/>
      </c>
      <c r="J72" s="62"/>
      <c r="K72" s="63"/>
    </row>
    <row r="73" spans="1:11" ht="15" customHeight="1" x14ac:dyDescent="0.25">
      <c r="A73" s="72"/>
      <c r="B73" s="57"/>
      <c r="C73" s="58"/>
      <c r="D73" s="57"/>
      <c r="E73" s="57"/>
      <c r="F73" s="59"/>
      <c r="G73" s="57"/>
      <c r="H73" s="58"/>
      <c r="I73" s="109" t="str">
        <f t="shared" si="2"/>
        <v/>
      </c>
      <c r="J73" s="57"/>
      <c r="K73" s="58"/>
    </row>
    <row r="74" spans="1:11" ht="15" customHeight="1" x14ac:dyDescent="0.25">
      <c r="A74" s="74"/>
      <c r="B74" s="62"/>
      <c r="C74" s="63"/>
      <c r="D74" s="62"/>
      <c r="E74" s="62"/>
      <c r="F74" s="64"/>
      <c r="G74" s="62"/>
      <c r="H74" s="63"/>
      <c r="I74" s="110" t="str">
        <f t="shared" si="2"/>
        <v/>
      </c>
      <c r="J74" s="62"/>
      <c r="K74" s="63"/>
    </row>
    <row r="75" spans="1:11" ht="15" customHeight="1" x14ac:dyDescent="0.25">
      <c r="A75" s="72"/>
      <c r="B75" s="57"/>
      <c r="C75" s="58"/>
      <c r="D75" s="57"/>
      <c r="E75" s="57"/>
      <c r="F75" s="59"/>
      <c r="G75" s="57"/>
      <c r="H75" s="58"/>
      <c r="I75" s="109" t="str">
        <f t="shared" si="2"/>
        <v/>
      </c>
      <c r="J75" s="57"/>
      <c r="K75" s="58"/>
    </row>
    <row r="76" spans="1:11" ht="15" customHeight="1" x14ac:dyDescent="0.25">
      <c r="A76" s="74"/>
      <c r="B76" s="62"/>
      <c r="C76" s="63"/>
      <c r="D76" s="62"/>
      <c r="E76" s="62"/>
      <c r="F76" s="64"/>
      <c r="G76" s="62"/>
      <c r="H76" s="63"/>
      <c r="I76" s="110" t="str">
        <f t="shared" si="2"/>
        <v/>
      </c>
      <c r="J76" s="62"/>
      <c r="K76" s="63"/>
    </row>
    <row r="77" spans="1:11" ht="15" customHeight="1" x14ac:dyDescent="0.25">
      <c r="A77" s="72"/>
      <c r="B77" s="57"/>
      <c r="C77" s="58"/>
      <c r="D77" s="57"/>
      <c r="E77" s="57"/>
      <c r="F77" s="59"/>
      <c r="G77" s="57"/>
      <c r="H77" s="58"/>
      <c r="I77" s="109" t="str">
        <f t="shared" si="2"/>
        <v/>
      </c>
      <c r="J77" s="57"/>
      <c r="K77" s="58"/>
    </row>
    <row r="78" spans="1:11" ht="15" customHeight="1" x14ac:dyDescent="0.25">
      <c r="A78" s="74"/>
      <c r="B78" s="62"/>
      <c r="C78" s="63"/>
      <c r="D78" s="62"/>
      <c r="E78" s="62"/>
      <c r="F78" s="64"/>
      <c r="G78" s="62"/>
      <c r="H78" s="63"/>
      <c r="I78" s="110" t="str">
        <f t="shared" si="2"/>
        <v/>
      </c>
      <c r="J78" s="62"/>
      <c r="K78" s="63"/>
    </row>
    <row r="79" spans="1:11" ht="15" customHeight="1" x14ac:dyDescent="0.25">
      <c r="A79" s="72"/>
      <c r="B79" s="57"/>
      <c r="C79" s="58"/>
      <c r="D79" s="57"/>
      <c r="E79" s="57"/>
      <c r="F79" s="59"/>
      <c r="G79" s="57"/>
      <c r="H79" s="58"/>
      <c r="I79" s="109" t="str">
        <f t="shared" si="2"/>
        <v/>
      </c>
      <c r="J79" s="57"/>
      <c r="K79" s="58"/>
    </row>
    <row r="80" spans="1:11" ht="15" customHeight="1" x14ac:dyDescent="0.25">
      <c r="A80" s="74"/>
      <c r="B80" s="62"/>
      <c r="C80" s="63"/>
      <c r="D80" s="62"/>
      <c r="E80" s="62"/>
      <c r="F80" s="64"/>
      <c r="G80" s="62"/>
      <c r="H80" s="63"/>
      <c r="I80" s="110" t="str">
        <f t="shared" si="2"/>
        <v/>
      </c>
      <c r="J80" s="62"/>
      <c r="K80" s="63"/>
    </row>
    <row r="81" spans="1:11" ht="15" customHeight="1" x14ac:dyDescent="0.25">
      <c r="A81" s="72"/>
      <c r="B81" s="57"/>
      <c r="C81" s="58"/>
      <c r="D81" s="57"/>
      <c r="E81" s="57"/>
      <c r="F81" s="59"/>
      <c r="G81" s="57"/>
      <c r="H81" s="58"/>
      <c r="I81" s="109" t="str">
        <f t="shared" si="2"/>
        <v/>
      </c>
      <c r="J81" s="57"/>
      <c r="K81" s="58"/>
    </row>
    <row r="82" spans="1:11" ht="15" customHeight="1" x14ac:dyDescent="0.25">
      <c r="A82" s="74"/>
      <c r="B82" s="62"/>
      <c r="C82" s="63"/>
      <c r="D82" s="62"/>
      <c r="E82" s="62"/>
      <c r="F82" s="64"/>
      <c r="G82" s="62"/>
      <c r="H82" s="63"/>
      <c r="I82" s="110" t="str">
        <f t="shared" si="2"/>
        <v/>
      </c>
      <c r="J82" s="62"/>
      <c r="K82" s="63"/>
    </row>
    <row r="83" spans="1:11" ht="15" customHeight="1" x14ac:dyDescent="0.25">
      <c r="A83" s="72"/>
      <c r="B83" s="57"/>
      <c r="C83" s="58"/>
      <c r="D83" s="57"/>
      <c r="E83" s="57"/>
      <c r="F83" s="59"/>
      <c r="G83" s="57"/>
      <c r="H83" s="58"/>
      <c r="I83" s="109" t="str">
        <f t="shared" si="2"/>
        <v/>
      </c>
      <c r="J83" s="57"/>
      <c r="K83" s="58"/>
    </row>
    <row r="84" spans="1:11" ht="15" customHeight="1" x14ac:dyDescent="0.25">
      <c r="A84" s="74"/>
      <c r="B84" s="62"/>
      <c r="C84" s="63"/>
      <c r="D84" s="62"/>
      <c r="E84" s="62"/>
      <c r="F84" s="64"/>
      <c r="G84" s="62"/>
      <c r="H84" s="63"/>
      <c r="I84" s="110" t="str">
        <f t="shared" si="2"/>
        <v/>
      </c>
      <c r="J84" s="62"/>
      <c r="K84" s="63"/>
    </row>
    <row r="85" spans="1:11" ht="15" customHeight="1" x14ac:dyDescent="0.25">
      <c r="A85" s="72"/>
      <c r="B85" s="57"/>
      <c r="C85" s="58"/>
      <c r="D85" s="57"/>
      <c r="E85" s="57"/>
      <c r="F85" s="59"/>
      <c r="G85" s="57"/>
      <c r="H85" s="58"/>
      <c r="I85" s="109" t="str">
        <f t="shared" si="2"/>
        <v/>
      </c>
      <c r="J85" s="57"/>
      <c r="K85" s="58"/>
    </row>
    <row r="86" spans="1:11" ht="15" customHeight="1" x14ac:dyDescent="0.25">
      <c r="A86" s="74"/>
      <c r="B86" s="62"/>
      <c r="C86" s="63"/>
      <c r="D86" s="62"/>
      <c r="E86" s="62"/>
      <c r="F86" s="64"/>
      <c r="G86" s="62"/>
      <c r="H86" s="63"/>
      <c r="I86" s="110" t="str">
        <f t="shared" si="2"/>
        <v/>
      </c>
      <c r="J86" s="62"/>
      <c r="K86" s="63"/>
    </row>
    <row r="87" spans="1:11" ht="15" customHeight="1" x14ac:dyDescent="0.25">
      <c r="A87" s="72"/>
      <c r="B87" s="57"/>
      <c r="C87" s="58"/>
      <c r="D87" s="57"/>
      <c r="E87" s="57"/>
      <c r="F87" s="59"/>
      <c r="G87" s="57"/>
      <c r="H87" s="58"/>
      <c r="I87" s="109" t="str">
        <f t="shared" si="2"/>
        <v/>
      </c>
      <c r="J87" s="57"/>
      <c r="K87" s="58"/>
    </row>
    <row r="88" spans="1:11" ht="15" customHeight="1" x14ac:dyDescent="0.25">
      <c r="A88" s="74"/>
      <c r="B88" s="62"/>
      <c r="C88" s="63"/>
      <c r="D88" s="62"/>
      <c r="E88" s="62"/>
      <c r="F88" s="64"/>
      <c r="G88" s="62"/>
      <c r="H88" s="63"/>
      <c r="I88" s="110" t="str">
        <f t="shared" si="2"/>
        <v/>
      </c>
      <c r="J88" s="62"/>
      <c r="K88" s="63"/>
    </row>
    <row r="89" spans="1:11" ht="15" customHeight="1" x14ac:dyDescent="0.25">
      <c r="A89" s="72"/>
      <c r="B89" s="57"/>
      <c r="C89" s="58"/>
      <c r="D89" s="57"/>
      <c r="E89" s="57"/>
      <c r="F89" s="59"/>
      <c r="G89" s="57"/>
      <c r="H89" s="58"/>
      <c r="I89" s="109" t="str">
        <f t="shared" si="2"/>
        <v/>
      </c>
      <c r="J89" s="57"/>
      <c r="K89" s="58"/>
    </row>
    <row r="90" spans="1:11" ht="15" customHeight="1" x14ac:dyDescent="0.25">
      <c r="A90" s="74"/>
      <c r="B90" s="62"/>
      <c r="C90" s="63"/>
      <c r="D90" s="62"/>
      <c r="E90" s="62"/>
      <c r="F90" s="64"/>
      <c r="G90" s="62"/>
      <c r="H90" s="63"/>
      <c r="I90" s="110" t="str">
        <f t="shared" si="2"/>
        <v/>
      </c>
      <c r="J90" s="62"/>
      <c r="K90" s="63"/>
    </row>
    <row r="91" spans="1:11" ht="15" customHeight="1" x14ac:dyDescent="0.25">
      <c r="A91" s="72"/>
      <c r="B91" s="57"/>
      <c r="C91" s="58"/>
      <c r="D91" s="57"/>
      <c r="E91" s="57"/>
      <c r="F91" s="59"/>
      <c r="G91" s="57"/>
      <c r="H91" s="58"/>
      <c r="I91" s="109" t="str">
        <f t="shared" si="2"/>
        <v/>
      </c>
      <c r="J91" s="57"/>
      <c r="K91" s="58"/>
    </row>
    <row r="92" spans="1:11" ht="15" customHeight="1" x14ac:dyDescent="0.25">
      <c r="A92" s="74"/>
      <c r="B92" s="62"/>
      <c r="C92" s="63"/>
      <c r="D92" s="62"/>
      <c r="E92" s="62"/>
      <c r="F92" s="64"/>
      <c r="G92" s="62"/>
      <c r="H92" s="63"/>
      <c r="I92" s="110" t="str">
        <f t="shared" si="2"/>
        <v/>
      </c>
      <c r="J92" s="62"/>
      <c r="K92" s="63"/>
    </row>
    <row r="93" spans="1:11" ht="15" customHeight="1" x14ac:dyDescent="0.25">
      <c r="A93" s="72"/>
      <c r="B93" s="57"/>
      <c r="C93" s="58"/>
      <c r="D93" s="57"/>
      <c r="E93" s="57"/>
      <c r="F93" s="59"/>
      <c r="G93" s="57"/>
      <c r="H93" s="58"/>
      <c r="I93" s="109" t="str">
        <f t="shared" si="2"/>
        <v/>
      </c>
      <c r="J93" s="57"/>
      <c r="K93" s="58"/>
    </row>
    <row r="94" spans="1:11" ht="15" customHeight="1" x14ac:dyDescent="0.25">
      <c r="A94" s="74"/>
      <c r="B94" s="62"/>
      <c r="C94" s="63"/>
      <c r="D94" s="62"/>
      <c r="E94" s="62"/>
      <c r="F94" s="64"/>
      <c r="G94" s="62"/>
      <c r="H94" s="63"/>
      <c r="I94" s="110" t="str">
        <f t="shared" si="2"/>
        <v/>
      </c>
      <c r="J94" s="62"/>
      <c r="K94" s="63"/>
    </row>
    <row r="95" spans="1:11" ht="15" customHeight="1" x14ac:dyDescent="0.25">
      <c r="A95" s="72"/>
      <c r="B95" s="57"/>
      <c r="C95" s="58"/>
      <c r="D95" s="57"/>
      <c r="E95" s="57"/>
      <c r="F95" s="59"/>
      <c r="G95" s="57"/>
      <c r="H95" s="58"/>
      <c r="I95" s="109" t="str">
        <f t="shared" si="2"/>
        <v/>
      </c>
      <c r="J95" s="57"/>
      <c r="K95" s="58"/>
    </row>
    <row r="96" spans="1:11" ht="15" customHeight="1" x14ac:dyDescent="0.25">
      <c r="A96" s="74"/>
      <c r="B96" s="62"/>
      <c r="C96" s="63"/>
      <c r="D96" s="62"/>
      <c r="E96" s="62"/>
      <c r="F96" s="64"/>
      <c r="G96" s="62"/>
      <c r="H96" s="63"/>
      <c r="I96" s="110" t="str">
        <f t="shared" si="2"/>
        <v/>
      </c>
      <c r="J96" s="62"/>
      <c r="K96" s="63"/>
    </row>
    <row r="97" spans="1:11" ht="15" customHeight="1" x14ac:dyDescent="0.25">
      <c r="A97" s="72"/>
      <c r="B97" s="57"/>
      <c r="C97" s="58"/>
      <c r="D97" s="57"/>
      <c r="E97" s="57"/>
      <c r="F97" s="59"/>
      <c r="G97" s="57"/>
      <c r="H97" s="58"/>
      <c r="I97" s="109" t="str">
        <f t="shared" si="2"/>
        <v/>
      </c>
      <c r="J97" s="57"/>
      <c r="K97" s="58"/>
    </row>
    <row r="98" spans="1:11" ht="15" customHeight="1" x14ac:dyDescent="0.25">
      <c r="A98" s="74"/>
      <c r="B98" s="62"/>
      <c r="C98" s="63"/>
      <c r="D98" s="62"/>
      <c r="E98" s="62"/>
      <c r="F98" s="64"/>
      <c r="G98" s="62"/>
      <c r="H98" s="63"/>
      <c r="I98" s="110" t="str">
        <f t="shared" si="2"/>
        <v/>
      </c>
      <c r="J98" s="62"/>
      <c r="K98" s="63"/>
    </row>
    <row r="99" spans="1:11" ht="15" customHeight="1" x14ac:dyDescent="0.25">
      <c r="A99" s="72"/>
      <c r="B99" s="57"/>
      <c r="C99" s="58"/>
      <c r="D99" s="57"/>
      <c r="E99" s="57"/>
      <c r="F99" s="59"/>
      <c r="G99" s="57"/>
      <c r="H99" s="58"/>
      <c r="I99" s="109" t="str">
        <f t="shared" si="2"/>
        <v/>
      </c>
      <c r="J99" s="57"/>
      <c r="K99" s="58"/>
    </row>
    <row r="100" spans="1:11" ht="15" customHeight="1" x14ac:dyDescent="0.25">
      <c r="A100" s="74"/>
      <c r="B100" s="62"/>
      <c r="C100" s="63"/>
      <c r="D100" s="62"/>
      <c r="E100" s="62"/>
      <c r="F100" s="64"/>
      <c r="G100" s="62"/>
      <c r="H100" s="63"/>
      <c r="I100" s="110" t="str">
        <f t="shared" si="2"/>
        <v/>
      </c>
      <c r="J100" s="62"/>
      <c r="K100" s="63"/>
    </row>
    <row r="101" spans="1:11" ht="15" customHeight="1" x14ac:dyDescent="0.25">
      <c r="A101" s="72"/>
      <c r="B101" s="57"/>
      <c r="C101" s="58"/>
      <c r="D101" s="57"/>
      <c r="E101" s="57"/>
      <c r="F101" s="59"/>
      <c r="G101" s="57"/>
      <c r="H101" s="58"/>
      <c r="I101" s="109" t="str">
        <f t="shared" si="2"/>
        <v/>
      </c>
      <c r="J101" s="57"/>
      <c r="K101" s="58"/>
    </row>
    <row r="102" spans="1:11" ht="15" customHeight="1" x14ac:dyDescent="0.25">
      <c r="A102" s="74"/>
      <c r="B102" s="62"/>
      <c r="C102" s="63"/>
      <c r="D102" s="62"/>
      <c r="E102" s="62"/>
      <c r="F102" s="64"/>
      <c r="G102" s="62"/>
      <c r="H102" s="63"/>
      <c r="I102" s="110" t="str">
        <f t="shared" ref="I102:I133" si="3">IF(F102="","",IF(I101="",F102,I101+F102))</f>
        <v/>
      </c>
      <c r="J102" s="62"/>
      <c r="K102" s="63"/>
    </row>
    <row r="103" spans="1:11" ht="15" customHeight="1" x14ac:dyDescent="0.25">
      <c r="A103" s="72"/>
      <c r="B103" s="57"/>
      <c r="C103" s="58"/>
      <c r="D103" s="57"/>
      <c r="E103" s="57"/>
      <c r="F103" s="59"/>
      <c r="G103" s="57"/>
      <c r="H103" s="58"/>
      <c r="I103" s="109" t="str">
        <f t="shared" si="3"/>
        <v/>
      </c>
      <c r="J103" s="57"/>
      <c r="K103" s="58"/>
    </row>
    <row r="104" spans="1:11" ht="15" customHeight="1" x14ac:dyDescent="0.25">
      <c r="A104" s="74"/>
      <c r="B104" s="62"/>
      <c r="C104" s="63"/>
      <c r="D104" s="62"/>
      <c r="E104" s="62"/>
      <c r="F104" s="64"/>
      <c r="G104" s="62"/>
      <c r="H104" s="63"/>
      <c r="I104" s="110" t="str">
        <f t="shared" si="3"/>
        <v/>
      </c>
      <c r="J104" s="62"/>
      <c r="K104" s="63"/>
    </row>
    <row r="105" spans="1:11" ht="15" customHeight="1" x14ac:dyDescent="0.25">
      <c r="A105" s="72"/>
      <c r="B105" s="57"/>
      <c r="C105" s="58"/>
      <c r="D105" s="57"/>
      <c r="E105" s="57"/>
      <c r="F105" s="59"/>
      <c r="G105" s="57"/>
      <c r="H105" s="58"/>
      <c r="I105" s="109" t="str">
        <f t="shared" si="3"/>
        <v/>
      </c>
      <c r="J105" s="57"/>
      <c r="K105" s="58"/>
    </row>
    <row r="106" spans="1:11" ht="15" customHeight="1" x14ac:dyDescent="0.25">
      <c r="A106" s="74"/>
      <c r="B106" s="62"/>
      <c r="C106" s="63"/>
      <c r="D106" s="62"/>
      <c r="E106" s="62"/>
      <c r="F106" s="64"/>
      <c r="G106" s="62"/>
      <c r="H106" s="63"/>
      <c r="I106" s="110" t="str">
        <f t="shared" si="3"/>
        <v/>
      </c>
      <c r="J106" s="62"/>
      <c r="K106" s="63"/>
    </row>
    <row r="107" spans="1:11" ht="15" customHeight="1" x14ac:dyDescent="0.25">
      <c r="A107" s="72"/>
      <c r="B107" s="57"/>
      <c r="C107" s="58"/>
      <c r="D107" s="57"/>
      <c r="E107" s="57"/>
      <c r="F107" s="59"/>
      <c r="G107" s="57"/>
      <c r="H107" s="58"/>
      <c r="I107" s="109" t="str">
        <f t="shared" si="3"/>
        <v/>
      </c>
      <c r="J107" s="57"/>
      <c r="K107" s="58"/>
    </row>
    <row r="108" spans="1:11" ht="15" customHeight="1" x14ac:dyDescent="0.25">
      <c r="A108" s="74"/>
      <c r="B108" s="62"/>
      <c r="C108" s="63"/>
      <c r="D108" s="62"/>
      <c r="E108" s="62"/>
      <c r="F108" s="64"/>
      <c r="G108" s="62"/>
      <c r="H108" s="63"/>
      <c r="I108" s="110" t="str">
        <f t="shared" si="3"/>
        <v/>
      </c>
      <c r="J108" s="62"/>
      <c r="K108" s="63"/>
    </row>
    <row r="109" spans="1:11" ht="15" customHeight="1" x14ac:dyDescent="0.25">
      <c r="A109" s="72"/>
      <c r="B109" s="57"/>
      <c r="C109" s="58"/>
      <c r="D109" s="57"/>
      <c r="E109" s="57"/>
      <c r="F109" s="59"/>
      <c r="G109" s="57"/>
      <c r="H109" s="58"/>
      <c r="I109" s="109" t="str">
        <f t="shared" si="3"/>
        <v/>
      </c>
      <c r="J109" s="57"/>
      <c r="K109" s="58"/>
    </row>
    <row r="110" spans="1:11" ht="15" customHeight="1" x14ac:dyDescent="0.25">
      <c r="A110" s="74"/>
      <c r="B110" s="62"/>
      <c r="C110" s="63"/>
      <c r="D110" s="62"/>
      <c r="E110" s="62"/>
      <c r="F110" s="64"/>
      <c r="G110" s="62"/>
      <c r="H110" s="63"/>
      <c r="I110" s="110" t="str">
        <f t="shared" si="3"/>
        <v/>
      </c>
      <c r="J110" s="62"/>
      <c r="K110" s="63"/>
    </row>
    <row r="111" spans="1:11" ht="15" customHeight="1" x14ac:dyDescent="0.25">
      <c r="A111" s="72"/>
      <c r="B111" s="57"/>
      <c r="C111" s="58"/>
      <c r="D111" s="57"/>
      <c r="E111" s="57"/>
      <c r="F111" s="59"/>
      <c r="G111" s="57"/>
      <c r="H111" s="58"/>
      <c r="I111" s="109" t="str">
        <f t="shared" si="3"/>
        <v/>
      </c>
      <c r="J111" s="57"/>
      <c r="K111" s="58"/>
    </row>
    <row r="112" spans="1:11" ht="15" customHeight="1" x14ac:dyDescent="0.25">
      <c r="A112" s="74"/>
      <c r="B112" s="62"/>
      <c r="C112" s="63"/>
      <c r="D112" s="62"/>
      <c r="E112" s="62"/>
      <c r="F112" s="64"/>
      <c r="G112" s="62"/>
      <c r="H112" s="63"/>
      <c r="I112" s="110" t="str">
        <f t="shared" si="3"/>
        <v/>
      </c>
      <c r="J112" s="62"/>
      <c r="K112" s="63"/>
    </row>
    <row r="113" spans="1:11" ht="15" customHeight="1" x14ac:dyDescent="0.25">
      <c r="A113" s="72"/>
      <c r="B113" s="57"/>
      <c r="C113" s="58"/>
      <c r="D113" s="57"/>
      <c r="E113" s="57"/>
      <c r="F113" s="59"/>
      <c r="G113" s="57"/>
      <c r="H113" s="58"/>
      <c r="I113" s="109" t="str">
        <f t="shared" si="3"/>
        <v/>
      </c>
      <c r="J113" s="57"/>
      <c r="K113" s="58"/>
    </row>
    <row r="114" spans="1:11" ht="15" customHeight="1" x14ac:dyDescent="0.25">
      <c r="A114" s="74"/>
      <c r="B114" s="62"/>
      <c r="C114" s="63"/>
      <c r="D114" s="62"/>
      <c r="E114" s="62"/>
      <c r="F114" s="64"/>
      <c r="G114" s="62"/>
      <c r="H114" s="63"/>
      <c r="I114" s="110" t="str">
        <f t="shared" si="3"/>
        <v/>
      </c>
      <c r="J114" s="62"/>
      <c r="K114" s="63"/>
    </row>
    <row r="115" spans="1:11" ht="15" customHeight="1" x14ac:dyDescent="0.25">
      <c r="A115" s="72"/>
      <c r="B115" s="57"/>
      <c r="C115" s="58"/>
      <c r="D115" s="57"/>
      <c r="E115" s="57"/>
      <c r="F115" s="59"/>
      <c r="G115" s="57"/>
      <c r="H115" s="58"/>
      <c r="I115" s="109" t="str">
        <f t="shared" si="3"/>
        <v/>
      </c>
      <c r="J115" s="57"/>
      <c r="K115" s="58"/>
    </row>
    <row r="116" spans="1:11" ht="15" customHeight="1" x14ac:dyDescent="0.25">
      <c r="A116" s="74"/>
      <c r="B116" s="62"/>
      <c r="C116" s="63"/>
      <c r="D116" s="62"/>
      <c r="E116" s="62"/>
      <c r="F116" s="64"/>
      <c r="G116" s="62"/>
      <c r="H116" s="63"/>
      <c r="I116" s="110" t="str">
        <f t="shared" si="3"/>
        <v/>
      </c>
      <c r="J116" s="62"/>
      <c r="K116" s="63"/>
    </row>
    <row r="117" spans="1:11" ht="15" customHeight="1" x14ac:dyDescent="0.25">
      <c r="A117" s="72"/>
      <c r="B117" s="57"/>
      <c r="C117" s="58"/>
      <c r="D117" s="57"/>
      <c r="E117" s="57"/>
      <c r="F117" s="59"/>
      <c r="G117" s="57"/>
      <c r="H117" s="58"/>
      <c r="I117" s="109" t="str">
        <f t="shared" si="3"/>
        <v/>
      </c>
      <c r="J117" s="57"/>
      <c r="K117" s="58"/>
    </row>
    <row r="118" spans="1:11" ht="15" customHeight="1" x14ac:dyDescent="0.25">
      <c r="A118" s="74"/>
      <c r="B118" s="62"/>
      <c r="C118" s="63"/>
      <c r="D118" s="62"/>
      <c r="E118" s="62"/>
      <c r="F118" s="64"/>
      <c r="G118" s="62"/>
      <c r="H118" s="63"/>
      <c r="I118" s="110" t="str">
        <f t="shared" si="3"/>
        <v/>
      </c>
      <c r="J118" s="62"/>
      <c r="K118" s="63"/>
    </row>
    <row r="119" spans="1:11" ht="15" customHeight="1" x14ac:dyDescent="0.25">
      <c r="A119" s="72"/>
      <c r="B119" s="57"/>
      <c r="C119" s="58"/>
      <c r="D119" s="57"/>
      <c r="E119" s="57"/>
      <c r="F119" s="59"/>
      <c r="G119" s="57"/>
      <c r="H119" s="58"/>
      <c r="I119" s="109" t="str">
        <f t="shared" si="3"/>
        <v/>
      </c>
      <c r="J119" s="57"/>
      <c r="K119" s="58"/>
    </row>
    <row r="120" spans="1:11" ht="15" customHeight="1" x14ac:dyDescent="0.25">
      <c r="A120" s="74"/>
      <c r="B120" s="62"/>
      <c r="C120" s="63"/>
      <c r="D120" s="62"/>
      <c r="E120" s="62"/>
      <c r="F120" s="64"/>
      <c r="G120" s="62"/>
      <c r="H120" s="63"/>
      <c r="I120" s="110" t="str">
        <f t="shared" si="3"/>
        <v/>
      </c>
      <c r="J120" s="62"/>
      <c r="K120" s="63"/>
    </row>
    <row r="121" spans="1:11" ht="15" customHeight="1" x14ac:dyDescent="0.25">
      <c r="A121" s="72"/>
      <c r="B121" s="57"/>
      <c r="C121" s="58"/>
      <c r="D121" s="57"/>
      <c r="E121" s="57"/>
      <c r="F121" s="59"/>
      <c r="G121" s="57"/>
      <c r="H121" s="58"/>
      <c r="I121" s="109" t="str">
        <f t="shared" si="3"/>
        <v/>
      </c>
      <c r="J121" s="57"/>
      <c r="K121" s="58"/>
    </row>
    <row r="122" spans="1:11" ht="15" customHeight="1" x14ac:dyDescent="0.25">
      <c r="A122" s="74"/>
      <c r="B122" s="62"/>
      <c r="C122" s="63"/>
      <c r="D122" s="62"/>
      <c r="E122" s="62"/>
      <c r="F122" s="64"/>
      <c r="G122" s="62"/>
      <c r="H122" s="63"/>
      <c r="I122" s="110" t="str">
        <f t="shared" si="3"/>
        <v/>
      </c>
      <c r="J122" s="62"/>
      <c r="K122" s="63"/>
    </row>
    <row r="123" spans="1:11" ht="15" customHeight="1" x14ac:dyDescent="0.25">
      <c r="A123" s="72"/>
      <c r="B123" s="57"/>
      <c r="C123" s="58"/>
      <c r="D123" s="57"/>
      <c r="E123" s="57"/>
      <c r="F123" s="59"/>
      <c r="G123" s="57"/>
      <c r="H123" s="58"/>
      <c r="I123" s="109" t="str">
        <f t="shared" si="3"/>
        <v/>
      </c>
      <c r="J123" s="57"/>
      <c r="K123" s="58"/>
    </row>
    <row r="124" spans="1:11" ht="15" customHeight="1" x14ac:dyDescent="0.25">
      <c r="A124" s="74"/>
      <c r="B124" s="62"/>
      <c r="C124" s="63"/>
      <c r="D124" s="62"/>
      <c r="E124" s="62"/>
      <c r="F124" s="64"/>
      <c r="G124" s="62"/>
      <c r="H124" s="63"/>
      <c r="I124" s="110" t="str">
        <f t="shared" si="3"/>
        <v/>
      </c>
      <c r="J124" s="62"/>
      <c r="K124" s="63"/>
    </row>
    <row r="125" spans="1:11" ht="15" customHeight="1" x14ac:dyDescent="0.25">
      <c r="A125" s="72"/>
      <c r="B125" s="57"/>
      <c r="C125" s="58"/>
      <c r="D125" s="57"/>
      <c r="E125" s="57"/>
      <c r="F125" s="59"/>
      <c r="G125" s="57"/>
      <c r="H125" s="58"/>
      <c r="I125" s="109" t="str">
        <f t="shared" si="3"/>
        <v/>
      </c>
      <c r="J125" s="57"/>
      <c r="K125" s="58"/>
    </row>
    <row r="126" spans="1:11" ht="15" customHeight="1" x14ac:dyDescent="0.25">
      <c r="A126" s="74"/>
      <c r="B126" s="62"/>
      <c r="C126" s="63"/>
      <c r="D126" s="62"/>
      <c r="E126" s="62"/>
      <c r="F126" s="64"/>
      <c r="G126" s="62"/>
      <c r="H126" s="63"/>
      <c r="I126" s="110" t="str">
        <f t="shared" si="3"/>
        <v/>
      </c>
      <c r="J126" s="62"/>
      <c r="K126" s="63"/>
    </row>
    <row r="127" spans="1:11" ht="15" customHeight="1" x14ac:dyDescent="0.25">
      <c r="A127" s="72"/>
      <c r="B127" s="57"/>
      <c r="C127" s="58"/>
      <c r="D127" s="57"/>
      <c r="E127" s="57"/>
      <c r="F127" s="59"/>
      <c r="G127" s="57"/>
      <c r="H127" s="58"/>
      <c r="I127" s="109" t="str">
        <f t="shared" si="3"/>
        <v/>
      </c>
      <c r="J127" s="57"/>
      <c r="K127" s="58"/>
    </row>
    <row r="128" spans="1:11" ht="15" customHeight="1" x14ac:dyDescent="0.25">
      <c r="A128" s="74"/>
      <c r="B128" s="62"/>
      <c r="C128" s="63"/>
      <c r="D128" s="62"/>
      <c r="E128" s="62"/>
      <c r="F128" s="64"/>
      <c r="G128" s="62"/>
      <c r="H128" s="63"/>
      <c r="I128" s="110" t="str">
        <f t="shared" si="3"/>
        <v/>
      </c>
      <c r="J128" s="62"/>
      <c r="K128" s="63"/>
    </row>
    <row r="129" spans="1:11" ht="15" customHeight="1" x14ac:dyDescent="0.25">
      <c r="A129" s="72"/>
      <c r="B129" s="57"/>
      <c r="C129" s="58"/>
      <c r="D129" s="57"/>
      <c r="E129" s="57"/>
      <c r="F129" s="59"/>
      <c r="G129" s="57"/>
      <c r="H129" s="58"/>
      <c r="I129" s="109" t="str">
        <f t="shared" si="3"/>
        <v/>
      </c>
      <c r="J129" s="57"/>
      <c r="K129" s="58"/>
    </row>
    <row r="130" spans="1:11" ht="15" customHeight="1" x14ac:dyDescent="0.25">
      <c r="A130" s="74"/>
      <c r="B130" s="62"/>
      <c r="C130" s="63"/>
      <c r="D130" s="62"/>
      <c r="E130" s="62"/>
      <c r="F130" s="64"/>
      <c r="G130" s="62"/>
      <c r="H130" s="63"/>
      <c r="I130" s="110" t="str">
        <f t="shared" si="3"/>
        <v/>
      </c>
      <c r="J130" s="62"/>
      <c r="K130" s="63"/>
    </row>
    <row r="131" spans="1:11" ht="15" customHeight="1" x14ac:dyDescent="0.25">
      <c r="A131" s="72"/>
      <c r="B131" s="57"/>
      <c r="C131" s="58"/>
      <c r="D131" s="57"/>
      <c r="E131" s="57"/>
      <c r="F131" s="59"/>
      <c r="G131" s="57"/>
      <c r="H131" s="58"/>
      <c r="I131" s="109" t="str">
        <f t="shared" si="3"/>
        <v/>
      </c>
      <c r="J131" s="57"/>
      <c r="K131" s="58"/>
    </row>
    <row r="132" spans="1:11" ht="15" customHeight="1" x14ac:dyDescent="0.25">
      <c r="A132" s="74"/>
      <c r="B132" s="62"/>
      <c r="C132" s="63"/>
      <c r="D132" s="62"/>
      <c r="E132" s="62"/>
      <c r="F132" s="64"/>
      <c r="G132" s="62"/>
      <c r="H132" s="63"/>
      <c r="I132" s="110" t="str">
        <f t="shared" si="3"/>
        <v/>
      </c>
      <c r="J132" s="62"/>
      <c r="K132" s="63"/>
    </row>
    <row r="133" spans="1:11" ht="15" customHeight="1" x14ac:dyDescent="0.25">
      <c r="A133" s="72"/>
      <c r="B133" s="57"/>
      <c r="C133" s="58"/>
      <c r="D133" s="57"/>
      <c r="E133" s="57"/>
      <c r="F133" s="59"/>
      <c r="G133" s="57"/>
      <c r="H133" s="58"/>
      <c r="I133" s="109" t="str">
        <f t="shared" si="3"/>
        <v/>
      </c>
      <c r="J133" s="57"/>
      <c r="K133" s="58"/>
    </row>
    <row r="134" spans="1:11" ht="15" customHeight="1" x14ac:dyDescent="0.25">
      <c r="A134" s="74"/>
      <c r="B134" s="62"/>
      <c r="C134" s="63"/>
      <c r="D134" s="62"/>
      <c r="E134" s="62"/>
      <c r="F134" s="64"/>
      <c r="G134" s="62"/>
      <c r="H134" s="63"/>
      <c r="I134" s="110" t="str">
        <f t="shared" ref="I134:I154" si="4">IF(F134="","",IF(I133="",F134,I133+F134))</f>
        <v/>
      </c>
      <c r="J134" s="62"/>
      <c r="K134" s="63"/>
    </row>
    <row r="135" spans="1:11" ht="15" customHeight="1" x14ac:dyDescent="0.25">
      <c r="A135" s="72"/>
      <c r="B135" s="57"/>
      <c r="C135" s="58"/>
      <c r="D135" s="57"/>
      <c r="E135" s="57"/>
      <c r="F135" s="59"/>
      <c r="G135" s="57"/>
      <c r="H135" s="58"/>
      <c r="I135" s="109" t="str">
        <f t="shared" si="4"/>
        <v/>
      </c>
      <c r="J135" s="57"/>
      <c r="K135" s="58"/>
    </row>
    <row r="136" spans="1:11" ht="15" customHeight="1" x14ac:dyDescent="0.25">
      <c r="A136" s="74"/>
      <c r="B136" s="62"/>
      <c r="C136" s="63"/>
      <c r="D136" s="62"/>
      <c r="E136" s="62"/>
      <c r="F136" s="64"/>
      <c r="G136" s="62"/>
      <c r="H136" s="63"/>
      <c r="I136" s="110" t="str">
        <f t="shared" si="4"/>
        <v/>
      </c>
      <c r="J136" s="62"/>
      <c r="K136" s="63"/>
    </row>
    <row r="137" spans="1:11" ht="15" customHeight="1" x14ac:dyDescent="0.25">
      <c r="A137" s="72"/>
      <c r="B137" s="57"/>
      <c r="C137" s="58"/>
      <c r="D137" s="57"/>
      <c r="E137" s="57"/>
      <c r="F137" s="59"/>
      <c r="G137" s="57"/>
      <c r="H137" s="58"/>
      <c r="I137" s="109" t="str">
        <f t="shared" si="4"/>
        <v/>
      </c>
      <c r="J137" s="57"/>
      <c r="K137" s="58"/>
    </row>
    <row r="138" spans="1:11" ht="15" customHeight="1" x14ac:dyDescent="0.25">
      <c r="A138" s="74"/>
      <c r="B138" s="62"/>
      <c r="C138" s="63"/>
      <c r="D138" s="62"/>
      <c r="E138" s="62"/>
      <c r="F138" s="64"/>
      <c r="G138" s="62"/>
      <c r="H138" s="63"/>
      <c r="I138" s="110" t="str">
        <f t="shared" si="4"/>
        <v/>
      </c>
      <c r="J138" s="62"/>
      <c r="K138" s="63"/>
    </row>
    <row r="139" spans="1:11" ht="15" customHeight="1" x14ac:dyDescent="0.25">
      <c r="A139" s="72"/>
      <c r="B139" s="57"/>
      <c r="C139" s="58"/>
      <c r="D139" s="57"/>
      <c r="E139" s="57"/>
      <c r="F139" s="59"/>
      <c r="G139" s="57"/>
      <c r="H139" s="58"/>
      <c r="I139" s="109" t="str">
        <f t="shared" si="4"/>
        <v/>
      </c>
      <c r="J139" s="57"/>
      <c r="K139" s="58"/>
    </row>
    <row r="140" spans="1:11" ht="15" customHeight="1" x14ac:dyDescent="0.25">
      <c r="A140" s="74"/>
      <c r="B140" s="62"/>
      <c r="C140" s="63"/>
      <c r="D140" s="62"/>
      <c r="E140" s="62"/>
      <c r="F140" s="64"/>
      <c r="G140" s="62"/>
      <c r="H140" s="63"/>
      <c r="I140" s="110" t="str">
        <f t="shared" si="4"/>
        <v/>
      </c>
      <c r="J140" s="62"/>
      <c r="K140" s="63"/>
    </row>
    <row r="141" spans="1:11" ht="15" customHeight="1" x14ac:dyDescent="0.25">
      <c r="A141" s="72"/>
      <c r="B141" s="57"/>
      <c r="C141" s="58"/>
      <c r="D141" s="57"/>
      <c r="E141" s="57"/>
      <c r="F141" s="59"/>
      <c r="G141" s="57"/>
      <c r="H141" s="58"/>
      <c r="I141" s="109" t="str">
        <f t="shared" si="4"/>
        <v/>
      </c>
      <c r="J141" s="57"/>
      <c r="K141" s="58"/>
    </row>
    <row r="142" spans="1:11" ht="15" customHeight="1" x14ac:dyDescent="0.25">
      <c r="A142" s="74"/>
      <c r="B142" s="62"/>
      <c r="C142" s="63"/>
      <c r="D142" s="62"/>
      <c r="E142" s="62"/>
      <c r="F142" s="64"/>
      <c r="G142" s="62"/>
      <c r="H142" s="63"/>
      <c r="I142" s="110" t="str">
        <f t="shared" si="4"/>
        <v/>
      </c>
      <c r="J142" s="62"/>
      <c r="K142" s="63"/>
    </row>
    <row r="143" spans="1:11" ht="15" customHeight="1" x14ac:dyDescent="0.25">
      <c r="A143" s="72"/>
      <c r="B143" s="57"/>
      <c r="C143" s="58"/>
      <c r="D143" s="57"/>
      <c r="E143" s="57"/>
      <c r="F143" s="59"/>
      <c r="G143" s="57"/>
      <c r="H143" s="58"/>
      <c r="I143" s="109" t="str">
        <f t="shared" si="4"/>
        <v/>
      </c>
      <c r="J143" s="57"/>
      <c r="K143" s="58"/>
    </row>
    <row r="144" spans="1:11" ht="15" customHeight="1" x14ac:dyDescent="0.25">
      <c r="A144" s="74"/>
      <c r="B144" s="62"/>
      <c r="C144" s="63"/>
      <c r="D144" s="62"/>
      <c r="E144" s="62"/>
      <c r="F144" s="64"/>
      <c r="G144" s="62"/>
      <c r="H144" s="63"/>
      <c r="I144" s="110" t="str">
        <f t="shared" si="4"/>
        <v/>
      </c>
      <c r="J144" s="62"/>
      <c r="K144" s="63"/>
    </row>
    <row r="145" spans="1:11" ht="15" customHeight="1" x14ac:dyDescent="0.25">
      <c r="A145" s="72"/>
      <c r="B145" s="57"/>
      <c r="C145" s="58"/>
      <c r="D145" s="57"/>
      <c r="E145" s="57"/>
      <c r="F145" s="59"/>
      <c r="G145" s="57"/>
      <c r="H145" s="58"/>
      <c r="I145" s="109" t="str">
        <f t="shared" si="4"/>
        <v/>
      </c>
      <c r="J145" s="57"/>
      <c r="K145" s="58"/>
    </row>
    <row r="146" spans="1:11" ht="15" customHeight="1" x14ac:dyDescent="0.25">
      <c r="A146" s="74"/>
      <c r="B146" s="62"/>
      <c r="C146" s="63"/>
      <c r="D146" s="62"/>
      <c r="E146" s="62"/>
      <c r="F146" s="64"/>
      <c r="G146" s="62"/>
      <c r="H146" s="63"/>
      <c r="I146" s="110" t="str">
        <f t="shared" si="4"/>
        <v/>
      </c>
      <c r="J146" s="62"/>
      <c r="K146" s="63"/>
    </row>
    <row r="147" spans="1:11" ht="15" customHeight="1" x14ac:dyDescent="0.25">
      <c r="A147" s="72"/>
      <c r="B147" s="57"/>
      <c r="C147" s="58"/>
      <c r="D147" s="57"/>
      <c r="E147" s="57"/>
      <c r="F147" s="59"/>
      <c r="G147" s="57"/>
      <c r="H147" s="58"/>
      <c r="I147" s="109" t="str">
        <f t="shared" si="4"/>
        <v/>
      </c>
      <c r="J147" s="57"/>
      <c r="K147" s="58"/>
    </row>
    <row r="148" spans="1:11" ht="15" customHeight="1" x14ac:dyDescent="0.25">
      <c r="A148" s="74"/>
      <c r="B148" s="62"/>
      <c r="C148" s="63"/>
      <c r="D148" s="62"/>
      <c r="E148" s="62"/>
      <c r="F148" s="64"/>
      <c r="G148" s="62"/>
      <c r="H148" s="63"/>
      <c r="I148" s="110" t="str">
        <f t="shared" si="4"/>
        <v/>
      </c>
      <c r="J148" s="62"/>
      <c r="K148" s="63"/>
    </row>
    <row r="149" spans="1:11" ht="15" customHeight="1" x14ac:dyDescent="0.25">
      <c r="A149" s="72"/>
      <c r="B149" s="57"/>
      <c r="C149" s="58"/>
      <c r="D149" s="57"/>
      <c r="E149" s="57"/>
      <c r="F149" s="59"/>
      <c r="G149" s="57"/>
      <c r="H149" s="58"/>
      <c r="I149" s="109" t="str">
        <f t="shared" si="4"/>
        <v/>
      </c>
      <c r="J149" s="57"/>
      <c r="K149" s="58"/>
    </row>
    <row r="150" spans="1:11" ht="15" customHeight="1" x14ac:dyDescent="0.25">
      <c r="A150" s="74"/>
      <c r="B150" s="62"/>
      <c r="C150" s="63"/>
      <c r="D150" s="62"/>
      <c r="E150" s="62"/>
      <c r="F150" s="64"/>
      <c r="G150" s="62"/>
      <c r="H150" s="63"/>
      <c r="I150" s="110" t="str">
        <f t="shared" si="4"/>
        <v/>
      </c>
      <c r="J150" s="62"/>
      <c r="K150" s="63"/>
    </row>
    <row r="151" spans="1:11" ht="15" customHeight="1" x14ac:dyDescent="0.25">
      <c r="A151" s="72"/>
      <c r="B151" s="57"/>
      <c r="C151" s="58"/>
      <c r="D151" s="57"/>
      <c r="E151" s="57"/>
      <c r="F151" s="59"/>
      <c r="G151" s="57"/>
      <c r="H151" s="58"/>
      <c r="I151" s="109" t="str">
        <f t="shared" si="4"/>
        <v/>
      </c>
      <c r="J151" s="57"/>
      <c r="K151" s="58"/>
    </row>
    <row r="152" spans="1:11" ht="15" customHeight="1" x14ac:dyDescent="0.25">
      <c r="A152" s="74"/>
      <c r="B152" s="62"/>
      <c r="C152" s="63"/>
      <c r="D152" s="62"/>
      <c r="E152" s="62"/>
      <c r="F152" s="64"/>
      <c r="G152" s="62"/>
      <c r="H152" s="63"/>
      <c r="I152" s="110" t="str">
        <f t="shared" si="4"/>
        <v/>
      </c>
      <c r="J152" s="62"/>
      <c r="K152" s="63"/>
    </row>
    <row r="153" spans="1:11" ht="15" customHeight="1" x14ac:dyDescent="0.25">
      <c r="A153" s="72"/>
      <c r="B153" s="57"/>
      <c r="C153" s="58"/>
      <c r="D153" s="57"/>
      <c r="E153" s="57"/>
      <c r="F153" s="59"/>
      <c r="G153" s="57"/>
      <c r="H153" s="58"/>
      <c r="I153" s="109" t="str">
        <f t="shared" si="4"/>
        <v/>
      </c>
      <c r="J153" s="57"/>
      <c r="K153" s="58"/>
    </row>
    <row r="154" spans="1:11" ht="15" customHeight="1" x14ac:dyDescent="0.25">
      <c r="A154" s="74"/>
      <c r="B154" s="62"/>
      <c r="C154" s="63"/>
      <c r="D154" s="62"/>
      <c r="E154" s="62"/>
      <c r="F154" s="64"/>
      <c r="G154" s="62"/>
      <c r="H154" s="63"/>
      <c r="I154" s="110" t="str">
        <f t="shared" si="4"/>
        <v/>
      </c>
      <c r="J154" s="62"/>
      <c r="K154" s="63"/>
    </row>
    <row r="157" spans="1:11" ht="25.5" customHeight="1" x14ac:dyDescent="0.25">
      <c r="A157" s="146" t="s">
        <v>186</v>
      </c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</row>
    <row r="158" spans="1:11" ht="23.25" customHeight="1" x14ac:dyDescent="0.25">
      <c r="A158" s="18" t="s">
        <v>180</v>
      </c>
      <c r="B158" s="18" t="s">
        <v>187</v>
      </c>
      <c r="C158" s="18" t="s">
        <v>188</v>
      </c>
      <c r="D158" s="18" t="s">
        <v>189</v>
      </c>
      <c r="E158" s="18" t="s">
        <v>190</v>
      </c>
      <c r="F158" s="18" t="s">
        <v>191</v>
      </c>
      <c r="G158" s="18" t="s">
        <v>192</v>
      </c>
      <c r="H158" s="18" t="s">
        <v>193</v>
      </c>
      <c r="I158" s="18" t="s">
        <v>194</v>
      </c>
      <c r="J158" s="18" t="s">
        <v>195</v>
      </c>
      <c r="K158" s="18" t="s">
        <v>36</v>
      </c>
    </row>
    <row r="159" spans="1:11" ht="15" customHeight="1" x14ac:dyDescent="0.25">
      <c r="A159" s="76" t="s">
        <v>196</v>
      </c>
      <c r="B159" s="72">
        <v>46133</v>
      </c>
      <c r="C159" s="77">
        <f>COUNTIF(E5:E154,"Wk 1 (21 Apr)")</f>
        <v>1</v>
      </c>
      <c r="D159" s="78">
        <f>SUMPRODUCT((E5:E154="Wk 1 (21 Apr)")*(G5:G154="Cash")*(F5:F154))</f>
        <v>0</v>
      </c>
      <c r="E159" s="78">
        <f>SUMPRODUCT((E5:E154="Wk 1 (21 Apr)")*((G5:G154="MTN MoMo")+(G5:G154="Vodafone Cash")+(G5:G154="AirtelTigo Money"))*(F5:F154))</f>
        <v>0</v>
      </c>
      <c r="F159" s="78">
        <f>SUMPRODUCT((E5:E154="Wk 1 (21 Apr)")*(G5:G154="Bank Transfer")*(F5:F154))</f>
        <v>1500</v>
      </c>
      <c r="G159" s="78">
        <f>SUMPRODUCT((E5:E154="Wk 1 (21 Apr)")*(G5:G154="Cheque")*(F5:F154))</f>
        <v>0</v>
      </c>
      <c r="H159" s="79">
        <f t="shared" ref="H159:H172" si="5">SUM(D159:G159)</f>
        <v>1500</v>
      </c>
      <c r="I159" s="60">
        <f>H159</f>
        <v>1500</v>
      </c>
      <c r="J159" s="77"/>
      <c r="K159" s="80"/>
    </row>
    <row r="160" spans="1:11" ht="15" customHeight="1" x14ac:dyDescent="0.25">
      <c r="A160" s="81" t="s">
        <v>197</v>
      </c>
      <c r="B160" s="74">
        <v>46140</v>
      </c>
      <c r="C160" s="82">
        <f>COUNTIF(E5:E154,"Wk 2 (28 Apr)")</f>
        <v>0</v>
      </c>
      <c r="D160" s="83">
        <f>SUMPRODUCT((E5:E154="Wk 2 (28 Apr)")*(G5:G154="Cash")*(F5:F154))</f>
        <v>0</v>
      </c>
      <c r="E160" s="83">
        <f>SUMPRODUCT((E5:E154="Wk 2 (28 Apr)")*((G5:G154="MTN MoMo")+(G5:G154="Vodafone Cash")+(G5:G154="AirtelTigo Money"))*(F5:F154))</f>
        <v>0</v>
      </c>
      <c r="F160" s="83">
        <f>SUMPRODUCT((E5:E154="Wk 2 (28 Apr)")*(G5:G154="Bank Transfer")*(F5:F154))</f>
        <v>0</v>
      </c>
      <c r="G160" s="83">
        <f>SUMPRODUCT((E5:E154="Wk 2 (28 Apr)")*(G5:G154="Cheque")*(F5:F154))</f>
        <v>0</v>
      </c>
      <c r="H160" s="84">
        <f t="shared" si="5"/>
        <v>0</v>
      </c>
      <c r="I160" s="65">
        <f t="shared" ref="I160:I172" si="6">I159+H160</f>
        <v>1500</v>
      </c>
      <c r="J160" s="82"/>
      <c r="K160" s="85"/>
    </row>
    <row r="161" spans="1:11" ht="15" customHeight="1" x14ac:dyDescent="0.25">
      <c r="A161" s="76" t="s">
        <v>198</v>
      </c>
      <c r="B161" s="72">
        <v>46147</v>
      </c>
      <c r="C161" s="77">
        <f>COUNTIF(E5:E154,"Wk 3 (05 May)")</f>
        <v>0</v>
      </c>
      <c r="D161" s="78">
        <f>SUMPRODUCT((E5:E154="Wk 3 (05 May)")*(G5:G154="Cash")*(F5:F154))</f>
        <v>0</v>
      </c>
      <c r="E161" s="78">
        <f>SUMPRODUCT((E5:E154="Wk 3 (05 May)")*((G5:G154="MTN MoMo")+(G5:G154="Vodafone Cash")+(G5:G154="AirtelTigo Money"))*(F5:F154))</f>
        <v>0</v>
      </c>
      <c r="F161" s="78">
        <f>SUMPRODUCT((E5:E154="Wk 3 (05 May)")*(G5:G154="Bank Transfer")*(F5:F154))</f>
        <v>0</v>
      </c>
      <c r="G161" s="78">
        <f>SUMPRODUCT((E5:E154="Wk 3 (05 May)")*(G5:G154="Cheque")*(F5:F154))</f>
        <v>0</v>
      </c>
      <c r="H161" s="79">
        <f t="shared" si="5"/>
        <v>0</v>
      </c>
      <c r="I161" s="60">
        <f t="shared" si="6"/>
        <v>1500</v>
      </c>
      <c r="J161" s="77"/>
      <c r="K161" s="80"/>
    </row>
    <row r="162" spans="1:11" ht="15" customHeight="1" x14ac:dyDescent="0.25">
      <c r="A162" s="81" t="s">
        <v>199</v>
      </c>
      <c r="B162" s="74">
        <v>46154</v>
      </c>
      <c r="C162" s="82">
        <f>COUNTIF(E5:E154,"Wk 4 (12 May)")</f>
        <v>2</v>
      </c>
      <c r="D162" s="83">
        <f>SUMPRODUCT((E5:E154="Wk 4 (12 May)")*(G5:G154="Cash")*(F5:F154))</f>
        <v>0</v>
      </c>
      <c r="E162" s="83">
        <f>SUMPRODUCT((E5:E154="Wk 4 (12 May)")*((G5:G154="MTN MoMo")+(G5:G154="Vodafone Cash")+(G5:G154="AirtelTigo Money"))*(F5:F154))</f>
        <v>2900</v>
      </c>
      <c r="F162" s="83">
        <f>SUMPRODUCT((E5:E154="Wk 4 (12 May)")*(G5:G154="Bank Transfer")*(F5:F154))</f>
        <v>0</v>
      </c>
      <c r="G162" s="83">
        <f>SUMPRODUCT((E5:E154="Wk 4 (12 May)")*(G5:G154="Cheque")*(F5:F154))</f>
        <v>0</v>
      </c>
      <c r="H162" s="84">
        <f t="shared" si="5"/>
        <v>2900</v>
      </c>
      <c r="I162" s="65">
        <f t="shared" si="6"/>
        <v>4400</v>
      </c>
      <c r="J162" s="82"/>
      <c r="K162" s="85"/>
    </row>
    <row r="163" spans="1:11" ht="15" customHeight="1" x14ac:dyDescent="0.25">
      <c r="A163" s="76" t="s">
        <v>200</v>
      </c>
      <c r="B163" s="72">
        <v>46161</v>
      </c>
      <c r="C163" s="77">
        <f>COUNTIF(E5:E154,"Wk 5 (19 May)")</f>
        <v>1</v>
      </c>
      <c r="D163" s="78">
        <f>SUMPRODUCT((E5:E154="Wk 5 (19 May)")*(G5:G154="Cash")*(F5:F154))</f>
        <v>0</v>
      </c>
      <c r="E163" s="78">
        <f>SUMPRODUCT((E5:E154="Wk 5 (19 May)")*((G5:G154="MTN MoMo")+(G5:G154="Vodafone Cash")+(G5:G154="AirtelTigo Money"))*(F5:F154))</f>
        <v>0</v>
      </c>
      <c r="F163" s="78">
        <f>SUMPRODUCT((E5:E154="Wk 5 (19 May)")*(G5:G154="Bank Transfer")*(F5:F154))</f>
        <v>1550</v>
      </c>
      <c r="G163" s="78">
        <f>SUMPRODUCT((E5:E154="Wk 5 (19 May)")*(G5:G154="Cheque")*(F5:F154))</f>
        <v>0</v>
      </c>
      <c r="H163" s="79">
        <f t="shared" si="5"/>
        <v>1550</v>
      </c>
      <c r="I163" s="60">
        <f t="shared" si="6"/>
        <v>5950</v>
      </c>
      <c r="J163" s="77"/>
      <c r="K163" s="80"/>
    </row>
    <row r="164" spans="1:11" ht="15" customHeight="1" x14ac:dyDescent="0.25">
      <c r="A164" s="81" t="s">
        <v>201</v>
      </c>
      <c r="B164" s="74">
        <v>46168</v>
      </c>
      <c r="C164" s="82">
        <f>COUNTIF(E5:E154,"Wk 6 (26 May)")</f>
        <v>0</v>
      </c>
      <c r="D164" s="83">
        <f>SUMPRODUCT((E5:E154="Wk 6 (26 May)")*(G5:G154="Cash")*(F5:F154))</f>
        <v>0</v>
      </c>
      <c r="E164" s="83">
        <f>SUMPRODUCT((E5:E154="Wk 6 (26 May)")*((G5:G154="MTN MoMo")+(G5:G154="Vodafone Cash")+(G5:G154="AirtelTigo Money"))*(F5:F154))</f>
        <v>0</v>
      </c>
      <c r="F164" s="83">
        <f>SUMPRODUCT((E5:E154="Wk 6 (26 May)")*(G5:G154="Bank Transfer")*(F5:F154))</f>
        <v>0</v>
      </c>
      <c r="G164" s="83">
        <f>SUMPRODUCT((E5:E154="Wk 6 (26 May)")*(G5:G154="Cheque")*(F5:F154))</f>
        <v>0</v>
      </c>
      <c r="H164" s="84">
        <f t="shared" si="5"/>
        <v>0</v>
      </c>
      <c r="I164" s="65">
        <f t="shared" si="6"/>
        <v>5950</v>
      </c>
      <c r="J164" s="82"/>
      <c r="K164" s="85"/>
    </row>
    <row r="165" spans="1:11" ht="15" customHeight="1" x14ac:dyDescent="0.25">
      <c r="A165" s="76" t="s">
        <v>202</v>
      </c>
      <c r="B165" s="72">
        <v>46175</v>
      </c>
      <c r="C165" s="77">
        <f>COUNTIF(E5:E154,"Wk 7 (02 Jun)")</f>
        <v>1</v>
      </c>
      <c r="D165" s="78">
        <f>SUMPRODUCT((E5:E154="Wk 7 (02 Jun)")*(G5:G154="Cash")*(F5:F154))</f>
        <v>0</v>
      </c>
      <c r="E165" s="78">
        <f>SUMPRODUCT((E5:E154="Wk 7 (02 Jun)")*((G5:G154="MTN MoMo")+(G5:G154="Vodafone Cash")+(G5:G154="AirtelTigo Money"))*(F5:F154))</f>
        <v>250</v>
      </c>
      <c r="F165" s="78">
        <f>SUMPRODUCT((E5:E154="Wk 7 (02 Jun)")*(G5:G154="Bank Transfer")*(F5:F154))</f>
        <v>0</v>
      </c>
      <c r="G165" s="78">
        <f>SUMPRODUCT((E5:E154="Wk 7 (02 Jun)")*(G5:G154="Cheque")*(F5:F154))</f>
        <v>0</v>
      </c>
      <c r="H165" s="79">
        <f t="shared" si="5"/>
        <v>250</v>
      </c>
      <c r="I165" s="60">
        <f t="shared" si="6"/>
        <v>6200</v>
      </c>
      <c r="J165" s="77"/>
      <c r="K165" s="80"/>
    </row>
    <row r="166" spans="1:11" ht="15" customHeight="1" x14ac:dyDescent="0.25">
      <c r="A166" s="81" t="s">
        <v>203</v>
      </c>
      <c r="B166" s="74">
        <v>46182</v>
      </c>
      <c r="C166" s="82">
        <f>COUNTIF(E5:E154,"Wk 8 (09 Jun)")</f>
        <v>1</v>
      </c>
      <c r="D166" s="83">
        <f>SUMPRODUCT((E5:E154="Wk 8 (09 Jun)")*(G5:G154="Cash")*(F5:F154))</f>
        <v>0</v>
      </c>
      <c r="E166" s="83">
        <f>SUMPRODUCT((E5:E154="Wk 8 (09 Jun)")*((G5:G154="MTN MoMo")+(G5:G154="Vodafone Cash")+(G5:G154="AirtelTigo Money"))*(F5:F154))</f>
        <v>900</v>
      </c>
      <c r="F166" s="83">
        <f>SUMPRODUCT((E5:E154="Wk 8 (09 Jun)")*(G5:G154="Bank Transfer")*(F5:F154))</f>
        <v>0</v>
      </c>
      <c r="G166" s="83">
        <f>SUMPRODUCT((E5:E154="Wk 8 (09 Jun)")*(G5:G154="Cheque")*(F5:F154))</f>
        <v>0</v>
      </c>
      <c r="H166" s="84">
        <f t="shared" si="5"/>
        <v>900</v>
      </c>
      <c r="I166" s="65">
        <f t="shared" si="6"/>
        <v>7100</v>
      </c>
      <c r="J166" s="82"/>
      <c r="K166" s="85"/>
    </row>
    <row r="167" spans="1:11" ht="15" customHeight="1" x14ac:dyDescent="0.25">
      <c r="A167" s="76" t="s">
        <v>204</v>
      </c>
      <c r="B167" s="72">
        <v>46189</v>
      </c>
      <c r="C167" s="77">
        <f>COUNTIF(E5:E154,"Wk 9 (16 Jun)")</f>
        <v>0</v>
      </c>
      <c r="D167" s="78">
        <f>SUMPRODUCT((E5:E154="Wk 9 (16 Jun)")*(G5:G154="Cash")*(F5:F154))</f>
        <v>0</v>
      </c>
      <c r="E167" s="78">
        <f>SUMPRODUCT((E5:E154="Wk 9 (16 Jun)")*((G5:G154="MTN MoMo")+(G5:G154="Vodafone Cash")+(G5:G154="AirtelTigo Money"))*(F5:F154))</f>
        <v>0</v>
      </c>
      <c r="F167" s="78">
        <f>SUMPRODUCT((E5:E154="Wk 9 (16 Jun)")*(G5:G154="Bank Transfer")*(F5:F154))</f>
        <v>0</v>
      </c>
      <c r="G167" s="78">
        <f>SUMPRODUCT((E5:E154="Wk 9 (16 Jun)")*(G5:G154="Cheque")*(F5:F154))</f>
        <v>0</v>
      </c>
      <c r="H167" s="79">
        <f t="shared" si="5"/>
        <v>0</v>
      </c>
      <c r="I167" s="60">
        <f t="shared" si="6"/>
        <v>7100</v>
      </c>
      <c r="J167" s="77"/>
      <c r="K167" s="80"/>
    </row>
    <row r="168" spans="1:11" ht="21.75" customHeight="1" x14ac:dyDescent="0.25">
      <c r="A168" s="81" t="s">
        <v>205</v>
      </c>
      <c r="B168" s="74">
        <v>46196</v>
      </c>
      <c r="C168" s="82">
        <f>COUNTIF(E5:E154,"Wk 10 (23 Jun)")</f>
        <v>0</v>
      </c>
      <c r="D168" s="83">
        <f>SUMPRODUCT((E5:E154="Wk 10 (23 Jun)")*(G5:G154="Cash")*(F5:F154))</f>
        <v>0</v>
      </c>
      <c r="E168" s="83">
        <f>SUMPRODUCT((E5:E154="Wk 10 (23 Jun)")*((G5:G154="MTN MoMo")+(G5:G154="Vodafone Cash")+(G5:G154="AirtelTigo Money"))*(F5:F154))</f>
        <v>0</v>
      </c>
      <c r="F168" s="83">
        <f>SUMPRODUCT((E5:E154="Wk 10 (23 Jun)")*(G5:G154="Bank Transfer")*(F5:F154))</f>
        <v>0</v>
      </c>
      <c r="G168" s="83">
        <f>SUMPRODUCT((E5:E154="Wk 10 (23 Jun)")*(G5:G154="Cheque")*(F5:F154))</f>
        <v>0</v>
      </c>
      <c r="H168" s="84">
        <f t="shared" si="5"/>
        <v>0</v>
      </c>
      <c r="I168" s="65">
        <f t="shared" si="6"/>
        <v>7100</v>
      </c>
      <c r="J168" s="82"/>
      <c r="K168" s="85"/>
    </row>
    <row r="169" spans="1:11" ht="21.75" customHeight="1" x14ac:dyDescent="0.25">
      <c r="A169" s="76" t="s">
        <v>206</v>
      </c>
      <c r="B169" s="72">
        <v>46203</v>
      </c>
      <c r="C169" s="77">
        <f>COUNTIF(E5:E154,"Wk 11 (30 Jun)")</f>
        <v>0</v>
      </c>
      <c r="D169" s="78">
        <f>SUMPRODUCT((E5:E154="Wk 11 (30 Jun)")*(G5:G154="Cash")*(F5:F154))</f>
        <v>0</v>
      </c>
      <c r="E169" s="78">
        <f>SUMPRODUCT((E5:E154="Wk 11 (30 Jun)")*((G5:G154="MTN MoMo")+(G5:G154="Vodafone Cash")+(G5:G154="AirtelTigo Money"))*(F5:F154))</f>
        <v>0</v>
      </c>
      <c r="F169" s="78">
        <f>SUMPRODUCT((E5:E154="Wk 11 (30 Jun)")*(G5:G154="Bank Transfer")*(F5:F154))</f>
        <v>0</v>
      </c>
      <c r="G169" s="78">
        <f>SUMPRODUCT((E5:E154="Wk 11 (30 Jun)")*(G5:G154="Cheque")*(F5:F154))</f>
        <v>0</v>
      </c>
      <c r="H169" s="79">
        <f t="shared" si="5"/>
        <v>0</v>
      </c>
      <c r="I169" s="60">
        <f t="shared" si="6"/>
        <v>7100</v>
      </c>
      <c r="J169" s="77"/>
      <c r="K169" s="80"/>
    </row>
    <row r="170" spans="1:11" ht="18.75" customHeight="1" x14ac:dyDescent="0.25">
      <c r="A170" s="81" t="s">
        <v>207</v>
      </c>
      <c r="B170" s="74">
        <v>46210</v>
      </c>
      <c r="C170" s="82">
        <f>COUNTIF(E5:E154,"Wk 12 (07 Jul)")</f>
        <v>0</v>
      </c>
      <c r="D170" s="83">
        <f>SUMPRODUCT((E5:E154="Wk 12 (07 Jul)")*(G5:G154="Cash")*(F5:F154))</f>
        <v>0</v>
      </c>
      <c r="E170" s="83">
        <f>SUMPRODUCT((E5:E154="Wk 12 (07 Jul)")*((G5:G154="MTN MoMo")+(G5:G154="Vodafone Cash")+(G5:G154="AirtelTigo Money"))*(F5:F154))</f>
        <v>0</v>
      </c>
      <c r="F170" s="83">
        <f>SUMPRODUCT((E5:E154="Wk 12 (07 Jul)")*(G5:G154="Bank Transfer")*(F5:F154))</f>
        <v>0</v>
      </c>
      <c r="G170" s="83">
        <f>SUMPRODUCT((E5:E154="Wk 12 (07 Jul)")*(G5:G154="Cheque")*(F5:F154))</f>
        <v>0</v>
      </c>
      <c r="H170" s="84">
        <f t="shared" si="5"/>
        <v>0</v>
      </c>
      <c r="I170" s="65">
        <f t="shared" si="6"/>
        <v>7100</v>
      </c>
      <c r="J170" s="86" t="s">
        <v>208</v>
      </c>
      <c r="K170" s="85"/>
    </row>
    <row r="171" spans="1:11" ht="18.75" customHeight="1" x14ac:dyDescent="0.25">
      <c r="A171" s="76" t="s">
        <v>209</v>
      </c>
      <c r="B171" s="72">
        <v>46217</v>
      </c>
      <c r="C171" s="77">
        <f>COUNTIF(E5:E154,"Wk 13 (14 Jul)")</f>
        <v>1</v>
      </c>
      <c r="D171" s="78">
        <f>SUMPRODUCT((E5:E154="Wk 13 (14 Jul)")*(G5:G154="Cash")*(F5:F154))</f>
        <v>0</v>
      </c>
      <c r="E171" s="78">
        <f>SUMPRODUCT((E5:E154="Wk 13 (14 Jul)")*((G5:G154="MTN MoMo")+(G5:G154="Vodafone Cash")+(G5:G154="AirtelTigo Money"))*(F5:F154))</f>
        <v>1000</v>
      </c>
      <c r="F171" s="78">
        <f>SUMPRODUCT((E5:E154="Wk 13 (14 Jul)")*(G5:G154="Bank Transfer")*(F5:F154))</f>
        <v>0</v>
      </c>
      <c r="G171" s="78">
        <f>SUMPRODUCT((E5:E154="Wk 13 (14 Jul)")*(G5:G154="Cheque")*(F5:F154))</f>
        <v>0</v>
      </c>
      <c r="H171" s="79">
        <f t="shared" si="5"/>
        <v>1000</v>
      </c>
      <c r="I171" s="60">
        <f t="shared" si="6"/>
        <v>8100</v>
      </c>
      <c r="J171" s="87" t="s">
        <v>208</v>
      </c>
      <c r="K171" s="80"/>
    </row>
    <row r="172" spans="1:11" ht="18.75" customHeight="1" x14ac:dyDescent="0.25">
      <c r="A172" s="81" t="s">
        <v>210</v>
      </c>
      <c r="B172" s="74">
        <v>46224</v>
      </c>
      <c r="C172" s="82">
        <f>COUNTIF(E5:E154,"Wk 14 (21 Jul)")</f>
        <v>0</v>
      </c>
      <c r="D172" s="83">
        <f>SUMPRODUCT((E5:E154="Wk 14 (21 Jul)")*(G5:G154="Cash")*(F5:F154))</f>
        <v>0</v>
      </c>
      <c r="E172" s="83">
        <f>SUMPRODUCT((E5:E154="Wk 14 (21 Jul)")*((G5:G154="MTN MoMo")+(G5:G154="Vodafone Cash")+(G5:G154="AirtelTigo Money"))*(F5:F154))</f>
        <v>0</v>
      </c>
      <c r="F172" s="83">
        <f>SUMPRODUCT((E5:E154="Wk 14 (21 Jul)")*(G5:G154="Bank Transfer")*(F5:F154))</f>
        <v>0</v>
      </c>
      <c r="G172" s="83">
        <f>SUMPRODUCT((E5:E154="Wk 14 (21 Jul)")*(G5:G154="Cheque")*(F5:F154))</f>
        <v>0</v>
      </c>
      <c r="H172" s="84">
        <f t="shared" si="5"/>
        <v>0</v>
      </c>
      <c r="I172" s="65">
        <f t="shared" si="6"/>
        <v>8100</v>
      </c>
      <c r="J172" s="86" t="s">
        <v>208</v>
      </c>
      <c r="K172" s="85"/>
    </row>
    <row r="173" spans="1:11" ht="15" customHeight="1" x14ac:dyDescent="0.25">
      <c r="A173" s="28" t="s">
        <v>211</v>
      </c>
      <c r="B173" s="28"/>
      <c r="C173" s="88">
        <f t="shared" ref="C173:H173" si="7">SUM(C159:C172)</f>
        <v>7</v>
      </c>
      <c r="D173" s="29">
        <f t="shared" si="7"/>
        <v>0</v>
      </c>
      <c r="E173" s="29">
        <f t="shared" si="7"/>
        <v>5050</v>
      </c>
      <c r="F173" s="29">
        <f t="shared" si="7"/>
        <v>3050</v>
      </c>
      <c r="G173" s="29">
        <f t="shared" si="7"/>
        <v>0</v>
      </c>
      <c r="H173" s="29">
        <f t="shared" si="7"/>
        <v>8100</v>
      </c>
      <c r="I173" s="28"/>
      <c r="J173" s="28"/>
      <c r="K173" s="28"/>
    </row>
    <row r="176" spans="1:11" ht="15" customHeight="1" x14ac:dyDescent="0.25">
      <c r="A176" s="146" t="s">
        <v>212</v>
      </c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</row>
    <row r="177" spans="1:11" ht="23.25" customHeight="1" x14ac:dyDescent="0.25">
      <c r="A177" s="8" t="s">
        <v>213</v>
      </c>
      <c r="B177" s="8" t="s">
        <v>214</v>
      </c>
      <c r="C177" s="8" t="s">
        <v>189</v>
      </c>
      <c r="D177" s="8" t="s">
        <v>190</v>
      </c>
      <c r="E177" s="8" t="s">
        <v>191</v>
      </c>
      <c r="F177" s="8" t="s">
        <v>192</v>
      </c>
      <c r="G177" s="8" t="s">
        <v>215</v>
      </c>
      <c r="H177" s="8" t="s">
        <v>194</v>
      </c>
      <c r="I177" s="8" t="s">
        <v>216</v>
      </c>
      <c r="J177" s="8" t="s">
        <v>217</v>
      </c>
      <c r="K177" s="8" t="s">
        <v>36</v>
      </c>
    </row>
    <row r="178" spans="1:11" ht="15" customHeight="1" x14ac:dyDescent="0.25">
      <c r="A178" s="89" t="s">
        <v>218</v>
      </c>
      <c r="B178" s="90">
        <f>SUMPRODUCT((MONTH(A5:A154)=4)*(A5:A154&lt;&gt;""))</f>
        <v>1</v>
      </c>
      <c r="C178" s="78">
        <f>SUMPRODUCT((MONTH(A5:A154)=4)*(G5:G154="Cash")*(F5:F154))</f>
        <v>0</v>
      </c>
      <c r="D178" s="78">
        <f>SUMPRODUCT((MONTH(A5:A154)=4)*((G5:G154="MTN MoMo")+(G5:G154="Vodafone Cash")+(G5:G154="AirtelTigo Money"))*(F5:F154))</f>
        <v>0</v>
      </c>
      <c r="E178" s="78">
        <f>SUMPRODUCT((MONTH(A5:A154)=4)*(G5:G154="Bank Transfer")*(F5:F154))</f>
        <v>1500</v>
      </c>
      <c r="F178" s="78">
        <f>SUMPRODUCT((MONTH(A5:A154)=4)*(G5:G154="Cheque")*(F5:F154))</f>
        <v>0</v>
      </c>
      <c r="G178" s="79">
        <f>SUM(C178:F178)</f>
        <v>1500</v>
      </c>
      <c r="H178" s="60">
        <f>G178</f>
        <v>1500</v>
      </c>
      <c r="I178" s="91">
        <v>0.3</v>
      </c>
      <c r="J178" s="78"/>
      <c r="K178" s="92"/>
    </row>
    <row r="179" spans="1:11" ht="15" customHeight="1" x14ac:dyDescent="0.25">
      <c r="A179" s="93" t="s">
        <v>219</v>
      </c>
      <c r="B179" s="94">
        <f>SUMPRODUCT((MONTH(A5:A154)=5)*(A5:A154&lt;&gt;""))</f>
        <v>3</v>
      </c>
      <c r="C179" s="83">
        <f>SUMPRODUCT((MONTH(A5:A154)=5)*(G5:G154="Cash")*(F5:F154))</f>
        <v>0</v>
      </c>
      <c r="D179" s="83">
        <f>SUMPRODUCT((MONTH(A5:A154)=5)*((G5:G154="MTN MoMo")+(G5:G154="Vodafone Cash")+(G5:G154="AirtelTigo Money"))*(F5:F154))</f>
        <v>2900</v>
      </c>
      <c r="E179" s="83">
        <f>SUMPRODUCT((MONTH(A5:A154)=5)*(G5:G154="Bank Transfer")*(F5:F154))</f>
        <v>1550</v>
      </c>
      <c r="F179" s="83">
        <f>SUMPRODUCT((MONTH(A5:A154)=5)*(G5:G154="Cheque")*(F5:F154))</f>
        <v>0</v>
      </c>
      <c r="G179" s="84">
        <f>SUM(C179:F179)</f>
        <v>4450</v>
      </c>
      <c r="H179" s="65">
        <f>H178+G179</f>
        <v>5950</v>
      </c>
      <c r="I179" s="95">
        <v>0.65</v>
      </c>
      <c r="J179" s="83"/>
      <c r="K179" s="96"/>
    </row>
    <row r="180" spans="1:11" ht="15" customHeight="1" x14ac:dyDescent="0.25">
      <c r="A180" s="89" t="s">
        <v>220</v>
      </c>
      <c r="B180" s="90">
        <f>SUMPRODUCT((MONTH(A5:A154)=6)*(A5:A154&lt;&gt;""))</f>
        <v>2</v>
      </c>
      <c r="C180" s="78">
        <f>SUMPRODUCT((MONTH(A5:A154)=6)*(G5:G154="Cash")*(F5:F154))</f>
        <v>0</v>
      </c>
      <c r="D180" s="78">
        <f>SUMPRODUCT((MONTH(A5:A154)=6)*((G5:G154="MTN MoMo")+(G5:G154="Vodafone Cash")+(G5:G154="AirtelTigo Money"))*(F5:F154))</f>
        <v>1150</v>
      </c>
      <c r="E180" s="78">
        <f>SUMPRODUCT((MONTH(A5:A154)=6)*(G5:G154="Bank Transfer")*(F5:F154))</f>
        <v>0</v>
      </c>
      <c r="F180" s="78">
        <f>SUMPRODUCT((MONTH(A5:A154)=6)*(G5:G154="Cheque")*(F5:F154))</f>
        <v>0</v>
      </c>
      <c r="G180" s="79">
        <f>SUM(C180:F180)</f>
        <v>1150</v>
      </c>
      <c r="H180" s="60">
        <f>H179+G180</f>
        <v>7100</v>
      </c>
      <c r="I180" s="91">
        <v>1</v>
      </c>
      <c r="J180" s="78"/>
      <c r="K180" s="92"/>
    </row>
    <row r="181" spans="1:11" ht="15" customHeight="1" x14ac:dyDescent="0.25">
      <c r="A181" s="93" t="s">
        <v>221</v>
      </c>
      <c r="B181" s="94">
        <f>SUMPRODUCT((MONTH(A5:A154)=7)*(A5:A154&lt;&gt;""))</f>
        <v>1</v>
      </c>
      <c r="C181" s="83">
        <f>SUMPRODUCT((MONTH(A5:A154)=7)*(G5:G154="Cash")*(F5:F154))</f>
        <v>0</v>
      </c>
      <c r="D181" s="83">
        <f>SUMPRODUCT((MONTH(A5:A154)=7)*((G5:G154="MTN MoMo")+(G5:G154="Vodafone Cash")+(G5:G154="AirtelTigo Money"))*(F5:F154))</f>
        <v>1000</v>
      </c>
      <c r="E181" s="83">
        <f>SUMPRODUCT((MONTH(A5:A154)=7)*(G5:G154="Bank Transfer")*(F5:F154))</f>
        <v>0</v>
      </c>
      <c r="F181" s="83">
        <f>SUMPRODUCT((MONTH(A5:A154)=7)*(G5:G154="Cheque")*(F5:F154))</f>
        <v>0</v>
      </c>
      <c r="G181" s="84">
        <f>SUM(C181:F181)</f>
        <v>1000</v>
      </c>
      <c r="H181" s="65">
        <f>H180+G181</f>
        <v>8100</v>
      </c>
      <c r="I181" s="95">
        <v>1</v>
      </c>
      <c r="J181" s="83"/>
      <c r="K181" s="96"/>
    </row>
    <row r="182" spans="1:11" ht="15" customHeight="1" x14ac:dyDescent="0.25">
      <c r="A182" s="28" t="s">
        <v>222</v>
      </c>
      <c r="B182" s="88">
        <f t="shared" ref="B182:G182" si="8">SUM(B178:B181)</f>
        <v>7</v>
      </c>
      <c r="C182" s="29">
        <f t="shared" si="8"/>
        <v>0</v>
      </c>
      <c r="D182" s="29">
        <f t="shared" si="8"/>
        <v>5050</v>
      </c>
      <c r="E182" s="29">
        <f t="shared" si="8"/>
        <v>3050</v>
      </c>
      <c r="F182" s="29">
        <f t="shared" si="8"/>
        <v>0</v>
      </c>
      <c r="G182" s="29">
        <f t="shared" si="8"/>
        <v>8100</v>
      </c>
      <c r="H182" s="28"/>
      <c r="I182" s="28"/>
      <c r="J182" s="28"/>
      <c r="K182" s="28"/>
    </row>
  </sheetData>
  <mergeCells count="7">
    <mergeCell ref="A157:K157"/>
    <mergeCell ref="A176:K176"/>
    <mergeCell ref="A1:K1"/>
    <mergeCell ref="A2:K2"/>
    <mergeCell ref="A3:F3"/>
    <mergeCell ref="G3:I3"/>
    <mergeCell ref="J3:K3"/>
  </mergeCells>
  <dataValidations count="6">
    <dataValidation type="list" allowBlank="1" showInputMessage="1" promptTitle="Pupil Name" prompt="Select the pupil making the payment" sqref="C5:C154" xr:uid="{00000000-0002-0000-1100-000000000000}">
      <formula1>$P$1:$P$6</formula1>
      <formula2>0</formula2>
    </dataValidation>
    <dataValidation type="list" allowBlank="1" showInputMessage="1" promptTitle="Week" prompt="Select the week of payment" sqref="E5:E154" xr:uid="{00000000-0002-0000-1100-000001000000}">
      <formula1>"Wk 1 (21 Apr),Wk 2 (28 Apr),Wk 3 (05 May),Wk 4 (12 May),Wk 5 (19 May),Wk 6 (26 May),Wk 7 (02 Jun),Wk 8 (09 Jun),Wk 9 (16 Jun),Wk 10 (23 Jun),Wk 11 (30 Jun),Wk 12 (07 Jul),Wk 13 (14 Jul),Wk 14 (21 Jul)"</formula1>
      <formula2>0</formula2>
    </dataValidation>
    <dataValidation type="list" allowBlank="1" sqref="G5:G154" xr:uid="{00000000-0002-0000-1100-000002000000}">
      <formula1>"Cash,MTN MoMo,Vodafone Cash,AirtelTigo Money,Bank Transfer,Cheque"</formula1>
      <formula2>0</formula2>
    </dataValidation>
    <dataValidation type="list" allowBlank="1" sqref="D5:D154" xr:uid="{00000000-0002-0000-1100-000003000000}">
      <formula1>"Term 3,Term 2 Arrears,Term 1 Arrears"</formula1>
      <formula2>0</formula2>
    </dataValidation>
    <dataValidation type="list" allowBlank="1" sqref="J5:J154" xr:uid="{00000000-0002-0000-1100-000004000000}">
      <formula1>"Yes,No,Pending"</formula1>
      <formula2>0</formula2>
    </dataValidation>
    <dataValidation type="list" allowBlank="1" sqref="H5:H154" xr:uid="{00000000-0002-0000-1100-000005000000}">
      <formula1>"Dorcas Matilda Akosua Kusi,Hannah Ayorkor Laryea,Other"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6B3A20"/>
  </sheetPr>
  <dimension ref="A1:Q20"/>
  <sheetViews>
    <sheetView zoomScaleNormal="100" workbookViewId="0">
      <pane xSplit="2" ySplit="4" topLeftCell="K5" activePane="bottomRight" state="frozen"/>
      <selection pane="topRight" activeCell="C1" sqref="C1"/>
      <selection pane="bottomLeft" activeCell="A5" sqref="A5"/>
      <selection pane="bottomRight" activeCell="N11" sqref="N11"/>
    </sheetView>
  </sheetViews>
  <sheetFormatPr defaultColWidth="8.7109375" defaultRowHeight="15" x14ac:dyDescent="0.25"/>
  <cols>
    <col min="1" max="1" width="5" customWidth="1"/>
    <col min="2" max="2" width="36" customWidth="1"/>
    <col min="3" max="3" width="14" customWidth="1"/>
    <col min="4" max="16" width="13" customWidth="1"/>
    <col min="17" max="17" width="45" customWidth="1"/>
  </cols>
  <sheetData>
    <row r="1" spans="1:17" ht="25.5" customHeight="1" x14ac:dyDescent="0.25">
      <c r="A1" s="148" t="s">
        <v>321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3" spans="1:17" ht="15" customHeight="1" x14ac:dyDescent="0.25">
      <c r="A3" s="120" t="s">
        <v>149</v>
      </c>
      <c r="B3" s="120"/>
      <c r="C3" s="120"/>
      <c r="D3" s="121" t="s">
        <v>150</v>
      </c>
      <c r="E3" s="121"/>
      <c r="F3" s="121"/>
      <c r="G3" s="121"/>
      <c r="H3" s="122" t="s">
        <v>151</v>
      </c>
      <c r="I3" s="122"/>
      <c r="J3" s="122"/>
      <c r="K3" s="122"/>
      <c r="L3" s="122"/>
      <c r="M3" s="123" t="s">
        <v>263</v>
      </c>
      <c r="N3" s="123"/>
      <c r="O3" s="123"/>
      <c r="P3" s="123"/>
      <c r="Q3" s="32" t="s">
        <v>153</v>
      </c>
    </row>
    <row r="4" spans="1:17" ht="27.75" customHeight="1" x14ac:dyDescent="0.25">
      <c r="A4" s="6" t="s">
        <v>87</v>
      </c>
      <c r="B4" s="6" t="s">
        <v>88</v>
      </c>
      <c r="C4" s="6" t="s">
        <v>33</v>
      </c>
      <c r="D4" s="5" t="s">
        <v>154</v>
      </c>
      <c r="E4" s="5" t="s">
        <v>155</v>
      </c>
      <c r="F4" s="5" t="s">
        <v>72</v>
      </c>
      <c r="G4" s="5" t="s">
        <v>73</v>
      </c>
      <c r="H4" s="4" t="s">
        <v>156</v>
      </c>
      <c r="I4" s="4" t="s">
        <v>157</v>
      </c>
      <c r="J4" s="4" t="s">
        <v>76</v>
      </c>
      <c r="K4" s="4" t="s">
        <v>77</v>
      </c>
      <c r="L4" s="4" t="s">
        <v>78</v>
      </c>
      <c r="M4" s="3" t="s">
        <v>80</v>
      </c>
      <c r="N4" s="3" t="s">
        <v>81</v>
      </c>
      <c r="O4" s="3" t="s">
        <v>158</v>
      </c>
      <c r="P4" s="3" t="s">
        <v>159</v>
      </c>
      <c r="Q4" s="32" t="s">
        <v>160</v>
      </c>
    </row>
    <row r="5" spans="1:17" ht="15" customHeight="1" x14ac:dyDescent="0.25">
      <c r="A5" s="57">
        <v>1</v>
      </c>
      <c r="B5" s="58" t="s">
        <v>322</v>
      </c>
      <c r="C5" s="57" t="s">
        <v>98</v>
      </c>
      <c r="D5" s="59">
        <v>3050</v>
      </c>
      <c r="E5" s="59"/>
      <c r="F5" s="59">
        <v>2516.67</v>
      </c>
      <c r="G5" s="59">
        <f>IF(B5="","",IF(D5="",0,D5)+IF(E5="",0,E5)-IF(F5="",0,F5))</f>
        <v>533.32999999999993</v>
      </c>
      <c r="H5" s="59">
        <v>3000</v>
      </c>
      <c r="I5" s="59"/>
      <c r="J5" s="59">
        <v>150</v>
      </c>
      <c r="K5" s="59">
        <v>2850</v>
      </c>
      <c r="L5" s="59">
        <f>IF(B5="","",IF(H5="",0,H5)+IF(I5="",0,I5)-IF(J5="",0,J5)-IF(K5="",0,K5))</f>
        <v>0</v>
      </c>
      <c r="M5" s="59">
        <v>3000</v>
      </c>
      <c r="N5" s="59">
        <v>150</v>
      </c>
      <c r="O5" s="59">
        <f>SUMIF('Grade 4 - Payments'!C5:C154,B5,'Grade 4 - Payments'!F5:F154)</f>
        <v>0</v>
      </c>
      <c r="P5" s="60">
        <f>IF(B5="","",IF(M5="",0,M5)-IF(N5="",0,N5)+IF(L5&lt;0,0,IF(L5="",0,L5))-IF(O5="",0,O5))</f>
        <v>2850</v>
      </c>
      <c r="Q5" s="61" t="s">
        <v>323</v>
      </c>
    </row>
    <row r="6" spans="1:17" ht="15" customHeight="1" x14ac:dyDescent="0.25">
      <c r="A6" s="62">
        <v>2</v>
      </c>
      <c r="B6" s="63" t="s">
        <v>324</v>
      </c>
      <c r="C6" s="62"/>
      <c r="D6" s="64">
        <v>3200</v>
      </c>
      <c r="E6" s="64"/>
      <c r="F6" s="64">
        <v>3200</v>
      </c>
      <c r="G6" s="64">
        <f>IF(B6="","",IF(D6="",0,D6)+IF(E6="",0,E6)-IF(F6="",0,F6))</f>
        <v>0</v>
      </c>
      <c r="H6" s="64">
        <v>3000</v>
      </c>
      <c r="I6" s="64"/>
      <c r="J6" s="64"/>
      <c r="K6" s="64">
        <v>3000</v>
      </c>
      <c r="L6" s="64">
        <f>IF(B6="","",IF(H6="",0,H6)+IF(I6="",0,I6)-IF(J6="",0,J6)-IF(K6="",0,K6))</f>
        <v>0</v>
      </c>
      <c r="M6" s="64">
        <v>3000</v>
      </c>
      <c r="N6" s="64"/>
      <c r="O6" s="64">
        <f>SUMIF('Grade 4 - Payments'!C5:C154,B6,'Grade 4 - Payments'!F5:F154)</f>
        <v>3200</v>
      </c>
      <c r="P6" s="65">
        <f>IF(B6="","",IF(M6="",0,M6)-IF(N6="",0,N6)+IF(L6&lt;0,0,IF(L6="",0,L6))-IF(O6="",0,O6))</f>
        <v>-200</v>
      </c>
      <c r="Q6" s="66"/>
    </row>
    <row r="7" spans="1:17" ht="15" customHeight="1" x14ac:dyDescent="0.25">
      <c r="A7" s="57">
        <v>3</v>
      </c>
      <c r="B7" s="58" t="s">
        <v>325</v>
      </c>
      <c r="C7" s="57"/>
      <c r="D7" s="59">
        <v>3200</v>
      </c>
      <c r="E7" s="59"/>
      <c r="F7" s="59">
        <v>3200</v>
      </c>
      <c r="G7" s="59">
        <f>IF(B7="","",IF(D7="",0,D7)+IF(E7="",0,E7)-IF(F7="",0,F7))</f>
        <v>0</v>
      </c>
      <c r="H7" s="59">
        <v>3000</v>
      </c>
      <c r="I7" s="59"/>
      <c r="J7" s="59"/>
      <c r="K7" s="59">
        <v>3000</v>
      </c>
      <c r="L7" s="59">
        <f>IF(B7="","",IF(H7="",0,H7)+IF(I7="",0,I7)-IF(J7="",0,J7)-IF(K7="",0,K7))</f>
        <v>0</v>
      </c>
      <c r="M7" s="59">
        <v>3000</v>
      </c>
      <c r="N7" s="59"/>
      <c r="O7" s="59">
        <f>SUMIF('Grade 4 - Payments'!C5:C154,B7,'Grade 4 - Payments'!F5:F154)</f>
        <v>3200</v>
      </c>
      <c r="P7" s="60">
        <f>IF(B7="","",IF(M7="",0,M7)-IF(N7="",0,N7)+IF(L7&lt;0,0,IF(L7="",0,L7))-IF(O7="",0,O7))</f>
        <v>-200</v>
      </c>
      <c r="Q7" s="61"/>
    </row>
    <row r="8" spans="1:17" ht="30.6" customHeight="1" x14ac:dyDescent="0.25">
      <c r="A8" s="62">
        <v>4</v>
      </c>
      <c r="B8" s="63" t="s">
        <v>100</v>
      </c>
      <c r="C8" s="62"/>
      <c r="D8" s="64">
        <v>3200</v>
      </c>
      <c r="E8" s="64">
        <v>3050</v>
      </c>
      <c r="F8" s="64">
        <v>3650</v>
      </c>
      <c r="G8" s="64">
        <f>IF(B8="","",IF(D8="",0,D8)+IF(E8="",0,E8)-IF(F8="",0,F8))</f>
        <v>2600</v>
      </c>
      <c r="H8" s="64"/>
      <c r="I8" s="64">
        <v>2420</v>
      </c>
      <c r="J8" s="64"/>
      <c r="K8" s="64"/>
      <c r="L8" s="64">
        <f>IF(B8="","",IF(H8="",0,H8)+IF(I8="",0,I8)-IF(J8="",0,J8)-IF(K8="",0,K8))</f>
        <v>2420</v>
      </c>
      <c r="M8" s="64">
        <v>0</v>
      </c>
      <c r="N8" s="64"/>
      <c r="O8" s="64">
        <f>SUMIF('Grade 4 - Payments'!C5:C154,B8,'Grade 4 - Payments'!F5:F154)</f>
        <v>750</v>
      </c>
      <c r="P8" s="65">
        <f>IF(B8="","",IF(M8="",0,M8)-IF(N8="",0,N8)+IF(L8&lt;0,0,IF(L8="",0,L8))-IF(O8="",0,O8))</f>
        <v>1670</v>
      </c>
      <c r="Q8" s="66" t="s">
        <v>326</v>
      </c>
    </row>
    <row r="9" spans="1:17" ht="15" customHeight="1" x14ac:dyDescent="0.25">
      <c r="A9" s="57">
        <v>5</v>
      </c>
      <c r="B9" s="58"/>
      <c r="C9" s="57"/>
      <c r="D9" s="59"/>
      <c r="E9" s="59"/>
      <c r="F9" s="59"/>
      <c r="G9" s="59" t="str">
        <f t="shared" ref="G9:G18" si="0">IF(B9="","",0)</f>
        <v/>
      </c>
      <c r="H9" s="59"/>
      <c r="I9" s="59"/>
      <c r="J9" s="59"/>
      <c r="K9" s="59"/>
      <c r="L9" s="59" t="str">
        <f t="shared" ref="L9:L18" si="1">IF(B9="","",0)</f>
        <v/>
      </c>
      <c r="M9" s="59"/>
      <c r="N9" s="59"/>
      <c r="O9" s="59"/>
      <c r="P9" s="59" t="str">
        <f t="shared" ref="P9:P18" si="2">IF(B9="","",0)</f>
        <v/>
      </c>
      <c r="Q9" s="61"/>
    </row>
    <row r="10" spans="1:17" ht="15" customHeight="1" x14ac:dyDescent="0.25">
      <c r="A10" s="62">
        <v>6</v>
      </c>
      <c r="B10" s="63"/>
      <c r="C10" s="62"/>
      <c r="D10" s="64"/>
      <c r="E10" s="64"/>
      <c r="F10" s="64"/>
      <c r="G10" s="64" t="str">
        <f t="shared" si="0"/>
        <v/>
      </c>
      <c r="H10" s="64"/>
      <c r="I10" s="64"/>
      <c r="J10" s="64"/>
      <c r="K10" s="64"/>
      <c r="L10" s="64" t="str">
        <f t="shared" si="1"/>
        <v/>
      </c>
      <c r="M10" s="64"/>
      <c r="N10" s="64"/>
      <c r="O10" s="64"/>
      <c r="P10" s="64" t="str">
        <f t="shared" si="2"/>
        <v/>
      </c>
      <c r="Q10" s="66"/>
    </row>
    <row r="11" spans="1:17" ht="15" customHeight="1" x14ac:dyDescent="0.25">
      <c r="A11" s="57">
        <v>7</v>
      </c>
      <c r="B11" s="58"/>
      <c r="C11" s="57"/>
      <c r="D11" s="59"/>
      <c r="E11" s="59"/>
      <c r="F11" s="59"/>
      <c r="G11" s="59" t="str">
        <f t="shared" si="0"/>
        <v/>
      </c>
      <c r="H11" s="59"/>
      <c r="I11" s="59"/>
      <c r="J11" s="59"/>
      <c r="K11" s="59"/>
      <c r="L11" s="59" t="str">
        <f t="shared" si="1"/>
        <v/>
      </c>
      <c r="M11" s="59"/>
      <c r="N11" s="59"/>
      <c r="O11" s="59"/>
      <c r="P11" s="59" t="str">
        <f t="shared" si="2"/>
        <v/>
      </c>
      <c r="Q11" s="61"/>
    </row>
    <row r="12" spans="1:17" ht="15" customHeight="1" x14ac:dyDescent="0.25">
      <c r="A12" s="62">
        <v>8</v>
      </c>
      <c r="B12" s="63"/>
      <c r="C12" s="62"/>
      <c r="D12" s="64"/>
      <c r="E12" s="64"/>
      <c r="F12" s="64"/>
      <c r="G12" s="64" t="str">
        <f t="shared" si="0"/>
        <v/>
      </c>
      <c r="H12" s="64"/>
      <c r="I12" s="64"/>
      <c r="J12" s="64"/>
      <c r="K12" s="64"/>
      <c r="L12" s="64" t="str">
        <f t="shared" si="1"/>
        <v/>
      </c>
      <c r="M12" s="64"/>
      <c r="N12" s="64"/>
      <c r="O12" s="64"/>
      <c r="P12" s="64" t="str">
        <f t="shared" si="2"/>
        <v/>
      </c>
      <c r="Q12" s="66"/>
    </row>
    <row r="13" spans="1:17" ht="15" customHeight="1" x14ac:dyDescent="0.25">
      <c r="A13" s="57">
        <v>9</v>
      </c>
      <c r="B13" s="58"/>
      <c r="C13" s="57"/>
      <c r="D13" s="59"/>
      <c r="E13" s="59"/>
      <c r="F13" s="59"/>
      <c r="G13" s="59" t="str">
        <f t="shared" si="0"/>
        <v/>
      </c>
      <c r="H13" s="59"/>
      <c r="I13" s="59"/>
      <c r="J13" s="59"/>
      <c r="K13" s="59"/>
      <c r="L13" s="59" t="str">
        <f t="shared" si="1"/>
        <v/>
      </c>
      <c r="M13" s="59"/>
      <c r="N13" s="59"/>
      <c r="O13" s="59"/>
      <c r="P13" s="59" t="str">
        <f t="shared" si="2"/>
        <v/>
      </c>
      <c r="Q13" s="61"/>
    </row>
    <row r="14" spans="1:17" ht="15" customHeight="1" x14ac:dyDescent="0.25">
      <c r="A14" s="62">
        <v>10</v>
      </c>
      <c r="B14" s="63"/>
      <c r="C14" s="62"/>
      <c r="D14" s="64"/>
      <c r="E14" s="64"/>
      <c r="F14" s="64"/>
      <c r="G14" s="64" t="str">
        <f t="shared" si="0"/>
        <v/>
      </c>
      <c r="H14" s="64"/>
      <c r="I14" s="64"/>
      <c r="J14" s="64"/>
      <c r="K14" s="64"/>
      <c r="L14" s="64" t="str">
        <f t="shared" si="1"/>
        <v/>
      </c>
      <c r="M14" s="64"/>
      <c r="N14" s="64"/>
      <c r="O14" s="64"/>
      <c r="P14" s="64" t="str">
        <f t="shared" si="2"/>
        <v/>
      </c>
      <c r="Q14" s="66"/>
    </row>
    <row r="15" spans="1:17" ht="15" customHeight="1" x14ac:dyDescent="0.25">
      <c r="A15" s="57">
        <v>11</v>
      </c>
      <c r="B15" s="58"/>
      <c r="C15" s="57"/>
      <c r="D15" s="59"/>
      <c r="E15" s="59"/>
      <c r="F15" s="59"/>
      <c r="G15" s="59" t="str">
        <f t="shared" si="0"/>
        <v/>
      </c>
      <c r="H15" s="59"/>
      <c r="I15" s="59"/>
      <c r="J15" s="59"/>
      <c r="K15" s="59"/>
      <c r="L15" s="59" t="str">
        <f t="shared" si="1"/>
        <v/>
      </c>
      <c r="M15" s="59"/>
      <c r="N15" s="59"/>
      <c r="O15" s="59"/>
      <c r="P15" s="59" t="str">
        <f t="shared" si="2"/>
        <v/>
      </c>
      <c r="Q15" s="61"/>
    </row>
    <row r="16" spans="1:17" ht="15" customHeight="1" x14ac:dyDescent="0.25">
      <c r="A16" s="62">
        <v>12</v>
      </c>
      <c r="B16" s="63"/>
      <c r="C16" s="62"/>
      <c r="D16" s="64"/>
      <c r="E16" s="64"/>
      <c r="F16" s="64"/>
      <c r="G16" s="64" t="str">
        <f t="shared" si="0"/>
        <v/>
      </c>
      <c r="H16" s="64"/>
      <c r="I16" s="64"/>
      <c r="J16" s="64"/>
      <c r="K16" s="64"/>
      <c r="L16" s="64" t="str">
        <f t="shared" si="1"/>
        <v/>
      </c>
      <c r="M16" s="64"/>
      <c r="N16" s="64"/>
      <c r="O16" s="64"/>
      <c r="P16" s="64" t="str">
        <f t="shared" si="2"/>
        <v/>
      </c>
      <c r="Q16" s="66"/>
    </row>
    <row r="17" spans="1:17" ht="15" customHeight="1" x14ac:dyDescent="0.25">
      <c r="A17" s="57">
        <v>13</v>
      </c>
      <c r="B17" s="58"/>
      <c r="C17" s="57"/>
      <c r="D17" s="59"/>
      <c r="E17" s="59"/>
      <c r="F17" s="59"/>
      <c r="G17" s="59" t="str">
        <f t="shared" si="0"/>
        <v/>
      </c>
      <c r="H17" s="59"/>
      <c r="I17" s="59"/>
      <c r="J17" s="59"/>
      <c r="K17" s="59"/>
      <c r="L17" s="59" t="str">
        <f t="shared" si="1"/>
        <v/>
      </c>
      <c r="M17" s="59"/>
      <c r="N17" s="59"/>
      <c r="O17" s="59"/>
      <c r="P17" s="59" t="str">
        <f t="shared" si="2"/>
        <v/>
      </c>
      <c r="Q17" s="61"/>
    </row>
    <row r="18" spans="1:17" ht="15" customHeight="1" x14ac:dyDescent="0.25">
      <c r="A18" s="62">
        <v>14</v>
      </c>
      <c r="B18" s="63"/>
      <c r="C18" s="62"/>
      <c r="D18" s="64"/>
      <c r="E18" s="64"/>
      <c r="F18" s="64"/>
      <c r="G18" s="64" t="str">
        <f t="shared" si="0"/>
        <v/>
      </c>
      <c r="H18" s="64"/>
      <c r="I18" s="64"/>
      <c r="J18" s="64"/>
      <c r="K18" s="64"/>
      <c r="L18" s="64" t="str">
        <f t="shared" si="1"/>
        <v/>
      </c>
      <c r="M18" s="64"/>
      <c r="N18" s="64"/>
      <c r="O18" s="64"/>
      <c r="P18" s="64" t="str">
        <f t="shared" si="2"/>
        <v/>
      </c>
      <c r="Q18" s="66"/>
    </row>
    <row r="19" spans="1:17" ht="15" customHeight="1" x14ac:dyDescent="0.25">
      <c r="A19" s="28"/>
      <c r="B19" s="28" t="s">
        <v>84</v>
      </c>
      <c r="C19" s="28"/>
      <c r="D19" s="29">
        <f t="shared" ref="D19:P19" si="3">SUM(D5:D18)</f>
        <v>12650</v>
      </c>
      <c r="E19" s="29">
        <f t="shared" si="3"/>
        <v>3050</v>
      </c>
      <c r="F19" s="29">
        <f t="shared" si="3"/>
        <v>12566.67</v>
      </c>
      <c r="G19" s="29">
        <f t="shared" si="3"/>
        <v>3133.33</v>
      </c>
      <c r="H19" s="29">
        <f t="shared" si="3"/>
        <v>9000</v>
      </c>
      <c r="I19" s="29">
        <f t="shared" si="3"/>
        <v>2420</v>
      </c>
      <c r="J19" s="29">
        <f t="shared" si="3"/>
        <v>150</v>
      </c>
      <c r="K19" s="29">
        <f t="shared" si="3"/>
        <v>8850</v>
      </c>
      <c r="L19" s="29">
        <f t="shared" si="3"/>
        <v>2420</v>
      </c>
      <c r="M19" s="29">
        <f t="shared" si="3"/>
        <v>9000</v>
      </c>
      <c r="N19" s="29">
        <f t="shared" si="3"/>
        <v>150</v>
      </c>
      <c r="O19" s="29">
        <f t="shared" si="3"/>
        <v>7150</v>
      </c>
      <c r="P19" s="29">
        <f t="shared" si="3"/>
        <v>4120</v>
      </c>
      <c r="Q19" s="61"/>
    </row>
    <row r="20" spans="1:17" ht="15" customHeight="1" x14ac:dyDescent="0.25">
      <c r="B20" s="67" t="s">
        <v>169</v>
      </c>
      <c r="F20" s="68" t="s">
        <v>170</v>
      </c>
      <c r="G20" s="69">
        <f>IF(D19+E19=0,1,F19/(D19+E19))</f>
        <v>0.80042484076433118</v>
      </c>
      <c r="K20" s="68" t="s">
        <v>171</v>
      </c>
      <c r="L20" s="70">
        <f>IF(H19+I19-J19=0,1,K19/(H19+I19-J19))</f>
        <v>0.78527062999112685</v>
      </c>
      <c r="O20" s="71">
        <f>SUMIF('Grade 4 - Payments'!C5:C154,B20,'Grade 4 - Payments'!F5:F154)</f>
        <v>0</v>
      </c>
      <c r="Q20" s="66"/>
    </row>
  </sheetData>
  <mergeCells count="5">
    <mergeCell ref="A1:O1"/>
    <mergeCell ref="A3:C3"/>
    <mergeCell ref="D3:G3"/>
    <mergeCell ref="H3:L3"/>
    <mergeCell ref="M3:P3"/>
  </mergeCells>
  <dataValidations count="1">
    <dataValidation type="list" allowBlank="1" showInputMessage="1" showErrorMessage="1" errorTitle="Invalid Entry" error="Select from: None, Founding Family, Sibling, Sibling 2nd, Sibling 3rd, Staff Child, or Waiver." promptTitle="Discount Type" prompt="Select discount type or &quot;None&quot; for full-fee pupils." sqref="C5:C18" xr:uid="{00000000-0002-0000-1200-000000000000}">
      <formula1>"None,Founding Family,Sibling,Sibling 2nd,Sibling 3rd,Staff Child,Waiver"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6B3A20"/>
  </sheetPr>
  <dimension ref="A1:P18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3" sqref="C13"/>
    </sheetView>
  </sheetViews>
  <sheetFormatPr defaultColWidth="8.7109375" defaultRowHeight="15" x14ac:dyDescent="0.25"/>
  <cols>
    <col min="1" max="1" width="12" customWidth="1"/>
    <col min="2" max="2" width="13" customWidth="1"/>
    <col min="3" max="3" width="30" customWidth="1"/>
    <col min="4" max="4" width="13.42578125" customWidth="1"/>
    <col min="5" max="5" width="18" customWidth="1"/>
    <col min="6" max="6" width="14" customWidth="1"/>
    <col min="7" max="7" width="20" customWidth="1"/>
    <col min="8" max="8" width="25.140625" customWidth="1"/>
    <col min="9" max="9" width="14" customWidth="1"/>
    <col min="10" max="10" width="10" customWidth="1"/>
    <col min="11" max="11" width="28" customWidth="1"/>
    <col min="16" max="16" width="13" hidden="1" customWidth="1"/>
  </cols>
  <sheetData>
    <row r="1" spans="1:16" ht="25.5" customHeight="1" x14ac:dyDescent="0.25">
      <c r="A1" s="148" t="s">
        <v>327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P1" t="s">
        <v>322</v>
      </c>
    </row>
    <row r="2" spans="1:16" ht="15" customHeight="1" x14ac:dyDescent="0.25">
      <c r="A2" s="131" t="s">
        <v>173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P2" t="s">
        <v>324</v>
      </c>
    </row>
    <row r="3" spans="1:16" ht="15" customHeight="1" x14ac:dyDescent="0.25">
      <c r="A3" s="132" t="s">
        <v>174</v>
      </c>
      <c r="B3" s="132"/>
      <c r="C3" s="132"/>
      <c r="D3" s="132"/>
      <c r="E3" s="132"/>
      <c r="F3" s="132"/>
      <c r="G3" s="149" t="s">
        <v>175</v>
      </c>
      <c r="H3" s="149"/>
      <c r="I3" s="149"/>
      <c r="J3" s="134" t="s">
        <v>176</v>
      </c>
      <c r="K3" s="134"/>
      <c r="P3" t="s">
        <v>325</v>
      </c>
    </row>
    <row r="4" spans="1:16" ht="25.5" customHeight="1" x14ac:dyDescent="0.25">
      <c r="A4" s="2" t="s">
        <v>177</v>
      </c>
      <c r="B4" s="2" t="s">
        <v>178</v>
      </c>
      <c r="C4" s="2" t="s">
        <v>88</v>
      </c>
      <c r="D4" s="2" t="s">
        <v>179</v>
      </c>
      <c r="E4" s="2" t="s">
        <v>180</v>
      </c>
      <c r="F4" s="2" t="s">
        <v>181</v>
      </c>
      <c r="G4" s="19" t="s">
        <v>182</v>
      </c>
      <c r="H4" s="19" t="s">
        <v>183</v>
      </c>
      <c r="I4" s="19" t="s">
        <v>184</v>
      </c>
      <c r="J4" s="8" t="s">
        <v>185</v>
      </c>
      <c r="K4" s="8" t="s">
        <v>36</v>
      </c>
      <c r="P4" t="s">
        <v>100</v>
      </c>
    </row>
    <row r="5" spans="1:16" ht="15" customHeight="1" x14ac:dyDescent="0.25">
      <c r="A5" s="72">
        <v>46156</v>
      </c>
      <c r="B5" s="57">
        <v>1072</v>
      </c>
      <c r="C5" s="58" t="s">
        <v>324</v>
      </c>
      <c r="D5" s="57" t="s">
        <v>342</v>
      </c>
      <c r="E5" s="57" t="s">
        <v>199</v>
      </c>
      <c r="F5" s="59">
        <v>3200</v>
      </c>
      <c r="G5" s="57" t="s">
        <v>189</v>
      </c>
      <c r="H5" s="58" t="s">
        <v>337</v>
      </c>
      <c r="I5" s="111">
        <f>IF(F5="","",F5)</f>
        <v>3200</v>
      </c>
      <c r="J5" s="57"/>
      <c r="K5" s="58"/>
    </row>
    <row r="6" spans="1:16" ht="15" customHeight="1" x14ac:dyDescent="0.25">
      <c r="A6" s="74">
        <v>46142</v>
      </c>
      <c r="B6" s="62">
        <v>1077</v>
      </c>
      <c r="C6" s="63" t="s">
        <v>100</v>
      </c>
      <c r="D6" s="62" t="s">
        <v>356</v>
      </c>
      <c r="E6" s="62" t="s">
        <v>197</v>
      </c>
      <c r="F6" s="64">
        <v>500</v>
      </c>
      <c r="G6" s="62" t="s">
        <v>338</v>
      </c>
      <c r="H6" s="63" t="s">
        <v>337</v>
      </c>
      <c r="I6" s="112">
        <f t="shared" ref="I6:I37" si="0">IF(F6="","",IF(I5="",F6,I5+F6))</f>
        <v>3700</v>
      </c>
      <c r="J6" s="62"/>
      <c r="K6" s="63"/>
    </row>
    <row r="7" spans="1:16" ht="15" customHeight="1" x14ac:dyDescent="0.25">
      <c r="A7" s="72">
        <v>46136</v>
      </c>
      <c r="B7" s="57">
        <v>1098</v>
      </c>
      <c r="C7" s="58" t="s">
        <v>325</v>
      </c>
      <c r="D7" s="57" t="s">
        <v>342</v>
      </c>
      <c r="E7" s="57" t="s">
        <v>196</v>
      </c>
      <c r="F7" s="59">
        <v>1000</v>
      </c>
      <c r="G7" s="57" t="s">
        <v>191</v>
      </c>
      <c r="H7" s="58" t="s">
        <v>337</v>
      </c>
      <c r="I7" s="111">
        <f t="shared" si="0"/>
        <v>4700</v>
      </c>
      <c r="J7" s="57"/>
      <c r="K7" s="58"/>
    </row>
    <row r="8" spans="1:16" ht="15" customHeight="1" x14ac:dyDescent="0.25">
      <c r="A8" s="74">
        <v>46167</v>
      </c>
      <c r="B8" s="62">
        <v>1101</v>
      </c>
      <c r="C8" s="63" t="s">
        <v>325</v>
      </c>
      <c r="D8" s="62" t="s">
        <v>342</v>
      </c>
      <c r="E8" s="62" t="s">
        <v>201</v>
      </c>
      <c r="F8" s="64">
        <v>2200</v>
      </c>
      <c r="G8" s="62" t="s">
        <v>191</v>
      </c>
      <c r="H8" s="63" t="s">
        <v>337</v>
      </c>
      <c r="I8" s="112">
        <f t="shared" si="0"/>
        <v>6900</v>
      </c>
      <c r="J8" s="62"/>
      <c r="K8" s="63"/>
    </row>
    <row r="9" spans="1:16" ht="15" customHeight="1" x14ac:dyDescent="0.25">
      <c r="A9" s="72">
        <v>46177</v>
      </c>
      <c r="B9" s="57">
        <v>1108</v>
      </c>
      <c r="C9" s="58" t="s">
        <v>100</v>
      </c>
      <c r="D9" s="57" t="s">
        <v>356</v>
      </c>
      <c r="E9" s="57" t="s">
        <v>202</v>
      </c>
      <c r="F9" s="59">
        <v>250</v>
      </c>
      <c r="G9" s="57" t="s">
        <v>338</v>
      </c>
      <c r="H9" s="58" t="s">
        <v>337</v>
      </c>
      <c r="I9" s="111">
        <f t="shared" si="0"/>
        <v>7150</v>
      </c>
      <c r="J9" s="57"/>
      <c r="K9" s="58"/>
    </row>
    <row r="10" spans="1:16" ht="15" customHeight="1" x14ac:dyDescent="0.25">
      <c r="A10" s="74"/>
      <c r="B10" s="62"/>
      <c r="C10" s="63"/>
      <c r="D10" s="62"/>
      <c r="E10" s="62"/>
      <c r="F10" s="64"/>
      <c r="G10" s="62"/>
      <c r="H10" s="63"/>
      <c r="I10" s="112" t="str">
        <f t="shared" si="0"/>
        <v/>
      </c>
      <c r="J10" s="62"/>
      <c r="K10" s="63"/>
    </row>
    <row r="11" spans="1:16" ht="15" customHeight="1" x14ac:dyDescent="0.25">
      <c r="A11" s="72"/>
      <c r="B11" s="57"/>
      <c r="C11" s="58"/>
      <c r="D11" s="57"/>
      <c r="E11" s="57"/>
      <c r="F11" s="59"/>
      <c r="G11" s="57"/>
      <c r="H11" s="58"/>
      <c r="I11" s="111" t="str">
        <f t="shared" si="0"/>
        <v/>
      </c>
      <c r="J11" s="57"/>
      <c r="K11" s="58"/>
    </row>
    <row r="12" spans="1:16" ht="15" customHeight="1" x14ac:dyDescent="0.25">
      <c r="A12" s="74"/>
      <c r="B12" s="62"/>
      <c r="C12" s="63"/>
      <c r="D12" s="62"/>
      <c r="E12" s="62"/>
      <c r="F12" s="64"/>
      <c r="G12" s="62"/>
      <c r="H12" s="63"/>
      <c r="I12" s="112" t="str">
        <f t="shared" si="0"/>
        <v/>
      </c>
      <c r="J12" s="62"/>
      <c r="K12" s="63"/>
    </row>
    <row r="13" spans="1:16" ht="15" customHeight="1" x14ac:dyDescent="0.25">
      <c r="A13" s="72"/>
      <c r="B13" s="57"/>
      <c r="C13" s="58"/>
      <c r="D13" s="57"/>
      <c r="E13" s="57"/>
      <c r="F13" s="59"/>
      <c r="G13" s="57"/>
      <c r="H13" s="58"/>
      <c r="I13" s="111" t="str">
        <f t="shared" si="0"/>
        <v/>
      </c>
      <c r="J13" s="57"/>
      <c r="K13" s="58"/>
    </row>
    <row r="14" spans="1:16" ht="15" customHeight="1" x14ac:dyDescent="0.25">
      <c r="A14" s="74"/>
      <c r="B14" s="62"/>
      <c r="C14" s="63"/>
      <c r="D14" s="62"/>
      <c r="E14" s="62"/>
      <c r="F14" s="64"/>
      <c r="G14" s="62"/>
      <c r="H14" s="63"/>
      <c r="I14" s="112" t="str">
        <f t="shared" si="0"/>
        <v/>
      </c>
      <c r="J14" s="62"/>
      <c r="K14" s="63"/>
    </row>
    <row r="15" spans="1:16" ht="15" customHeight="1" x14ac:dyDescent="0.25">
      <c r="A15" s="72"/>
      <c r="B15" s="57"/>
      <c r="C15" s="58"/>
      <c r="D15" s="57"/>
      <c r="E15" s="57"/>
      <c r="F15" s="59"/>
      <c r="G15" s="57"/>
      <c r="H15" s="58"/>
      <c r="I15" s="111" t="str">
        <f t="shared" si="0"/>
        <v/>
      </c>
      <c r="J15" s="57"/>
      <c r="K15" s="58"/>
    </row>
    <row r="16" spans="1:16" ht="15" customHeight="1" x14ac:dyDescent="0.25">
      <c r="A16" s="74"/>
      <c r="B16" s="62"/>
      <c r="C16" s="63"/>
      <c r="D16" s="62"/>
      <c r="E16" s="62"/>
      <c r="F16" s="64"/>
      <c r="G16" s="62"/>
      <c r="H16" s="63"/>
      <c r="I16" s="112" t="str">
        <f t="shared" si="0"/>
        <v/>
      </c>
      <c r="J16" s="62"/>
      <c r="K16" s="63"/>
    </row>
    <row r="17" spans="1:11" ht="15" customHeight="1" x14ac:dyDescent="0.25">
      <c r="A17" s="72"/>
      <c r="B17" s="57"/>
      <c r="C17" s="58"/>
      <c r="D17" s="57"/>
      <c r="E17" s="57"/>
      <c r="F17" s="59"/>
      <c r="G17" s="57"/>
      <c r="H17" s="58"/>
      <c r="I17" s="111" t="str">
        <f t="shared" si="0"/>
        <v/>
      </c>
      <c r="J17" s="57"/>
      <c r="K17" s="58"/>
    </row>
    <row r="18" spans="1:11" ht="15" customHeight="1" x14ac:dyDescent="0.25">
      <c r="A18" s="74"/>
      <c r="B18" s="62"/>
      <c r="C18" s="63"/>
      <c r="D18" s="62"/>
      <c r="E18" s="62"/>
      <c r="F18" s="64"/>
      <c r="G18" s="62"/>
      <c r="H18" s="63"/>
      <c r="I18" s="112" t="str">
        <f t="shared" si="0"/>
        <v/>
      </c>
      <c r="J18" s="62"/>
      <c r="K18" s="63"/>
    </row>
    <row r="19" spans="1:11" ht="15" customHeight="1" x14ac:dyDescent="0.25">
      <c r="A19" s="72"/>
      <c r="B19" s="57"/>
      <c r="C19" s="58"/>
      <c r="D19" s="57"/>
      <c r="E19" s="57"/>
      <c r="F19" s="59"/>
      <c r="G19" s="57"/>
      <c r="H19" s="58"/>
      <c r="I19" s="111" t="str">
        <f t="shared" si="0"/>
        <v/>
      </c>
      <c r="J19" s="57"/>
      <c r="K19" s="58"/>
    </row>
    <row r="20" spans="1:11" ht="15" customHeight="1" x14ac:dyDescent="0.25">
      <c r="A20" s="74"/>
      <c r="B20" s="62"/>
      <c r="C20" s="63"/>
      <c r="D20" s="62"/>
      <c r="E20" s="62"/>
      <c r="F20" s="64"/>
      <c r="G20" s="62"/>
      <c r="H20" s="63"/>
      <c r="I20" s="112" t="str">
        <f t="shared" si="0"/>
        <v/>
      </c>
      <c r="J20" s="62"/>
      <c r="K20" s="63"/>
    </row>
    <row r="21" spans="1:11" ht="15" customHeight="1" x14ac:dyDescent="0.25">
      <c r="A21" s="72"/>
      <c r="B21" s="57"/>
      <c r="C21" s="58"/>
      <c r="D21" s="57"/>
      <c r="E21" s="57"/>
      <c r="F21" s="59"/>
      <c r="G21" s="57"/>
      <c r="H21" s="58"/>
      <c r="I21" s="111" t="str">
        <f t="shared" si="0"/>
        <v/>
      </c>
      <c r="J21" s="57"/>
      <c r="K21" s="58"/>
    </row>
    <row r="22" spans="1:11" ht="15" customHeight="1" x14ac:dyDescent="0.25">
      <c r="A22" s="74"/>
      <c r="B22" s="62"/>
      <c r="C22" s="63"/>
      <c r="D22" s="62"/>
      <c r="E22" s="62"/>
      <c r="F22" s="64"/>
      <c r="G22" s="62"/>
      <c r="H22" s="63"/>
      <c r="I22" s="112" t="str">
        <f t="shared" si="0"/>
        <v/>
      </c>
      <c r="J22" s="62"/>
      <c r="K22" s="63"/>
    </row>
    <row r="23" spans="1:11" ht="15" customHeight="1" x14ac:dyDescent="0.25">
      <c r="A23" s="72"/>
      <c r="B23" s="57"/>
      <c r="C23" s="58"/>
      <c r="D23" s="57"/>
      <c r="E23" s="57"/>
      <c r="F23" s="59"/>
      <c r="G23" s="57"/>
      <c r="H23" s="58"/>
      <c r="I23" s="111" t="str">
        <f t="shared" si="0"/>
        <v/>
      </c>
      <c r="J23" s="57"/>
      <c r="K23" s="58"/>
    </row>
    <row r="24" spans="1:11" ht="15" customHeight="1" x14ac:dyDescent="0.25">
      <c r="A24" s="74"/>
      <c r="B24" s="62"/>
      <c r="C24" s="63"/>
      <c r="D24" s="62"/>
      <c r="E24" s="62"/>
      <c r="F24" s="64"/>
      <c r="G24" s="62"/>
      <c r="H24" s="63"/>
      <c r="I24" s="112" t="str">
        <f t="shared" si="0"/>
        <v/>
      </c>
      <c r="J24" s="62"/>
      <c r="K24" s="63"/>
    </row>
    <row r="25" spans="1:11" ht="15" customHeight="1" x14ac:dyDescent="0.25">
      <c r="A25" s="72"/>
      <c r="B25" s="57"/>
      <c r="C25" s="58"/>
      <c r="D25" s="57"/>
      <c r="E25" s="57"/>
      <c r="F25" s="59"/>
      <c r="G25" s="57"/>
      <c r="H25" s="58"/>
      <c r="I25" s="111" t="str">
        <f t="shared" si="0"/>
        <v/>
      </c>
      <c r="J25" s="57"/>
      <c r="K25" s="58"/>
    </row>
    <row r="26" spans="1:11" ht="15" customHeight="1" x14ac:dyDescent="0.25">
      <c r="A26" s="74"/>
      <c r="B26" s="62"/>
      <c r="C26" s="63"/>
      <c r="D26" s="62"/>
      <c r="E26" s="62"/>
      <c r="F26" s="64"/>
      <c r="G26" s="62"/>
      <c r="H26" s="63"/>
      <c r="I26" s="112" t="str">
        <f t="shared" si="0"/>
        <v/>
      </c>
      <c r="J26" s="62"/>
      <c r="K26" s="63"/>
    </row>
    <row r="27" spans="1:11" ht="15" customHeight="1" x14ac:dyDescent="0.25">
      <c r="A27" s="72"/>
      <c r="B27" s="57"/>
      <c r="C27" s="58"/>
      <c r="D27" s="57"/>
      <c r="E27" s="57"/>
      <c r="F27" s="59"/>
      <c r="G27" s="57"/>
      <c r="H27" s="58"/>
      <c r="I27" s="111" t="str">
        <f t="shared" si="0"/>
        <v/>
      </c>
      <c r="J27" s="57"/>
      <c r="K27" s="58"/>
    </row>
    <row r="28" spans="1:11" ht="15" customHeight="1" x14ac:dyDescent="0.25">
      <c r="A28" s="74"/>
      <c r="B28" s="62"/>
      <c r="C28" s="63"/>
      <c r="D28" s="62"/>
      <c r="E28" s="62"/>
      <c r="F28" s="64"/>
      <c r="G28" s="62"/>
      <c r="H28" s="63"/>
      <c r="I28" s="112" t="str">
        <f t="shared" si="0"/>
        <v/>
      </c>
      <c r="J28" s="62"/>
      <c r="K28" s="63"/>
    </row>
    <row r="29" spans="1:11" ht="15" customHeight="1" x14ac:dyDescent="0.25">
      <c r="A29" s="72"/>
      <c r="B29" s="57"/>
      <c r="C29" s="58"/>
      <c r="D29" s="57"/>
      <c r="E29" s="57"/>
      <c r="F29" s="59"/>
      <c r="G29" s="57"/>
      <c r="H29" s="58"/>
      <c r="I29" s="111" t="str">
        <f t="shared" si="0"/>
        <v/>
      </c>
      <c r="J29" s="57"/>
      <c r="K29" s="58"/>
    </row>
    <row r="30" spans="1:11" ht="15" customHeight="1" x14ac:dyDescent="0.25">
      <c r="A30" s="74"/>
      <c r="B30" s="62"/>
      <c r="C30" s="63"/>
      <c r="D30" s="62"/>
      <c r="E30" s="62"/>
      <c r="F30" s="64"/>
      <c r="G30" s="62"/>
      <c r="H30" s="63"/>
      <c r="I30" s="112" t="str">
        <f t="shared" si="0"/>
        <v/>
      </c>
      <c r="J30" s="62"/>
      <c r="K30" s="63"/>
    </row>
    <row r="31" spans="1:11" ht="15" customHeight="1" x14ac:dyDescent="0.25">
      <c r="A31" s="72"/>
      <c r="B31" s="57"/>
      <c r="C31" s="58"/>
      <c r="D31" s="57"/>
      <c r="E31" s="57"/>
      <c r="F31" s="59"/>
      <c r="G31" s="57"/>
      <c r="H31" s="58"/>
      <c r="I31" s="111" t="str">
        <f t="shared" si="0"/>
        <v/>
      </c>
      <c r="J31" s="57"/>
      <c r="K31" s="58"/>
    </row>
    <row r="32" spans="1:11" ht="15" customHeight="1" x14ac:dyDescent="0.25">
      <c r="A32" s="74"/>
      <c r="B32" s="62"/>
      <c r="C32" s="63"/>
      <c r="D32" s="62"/>
      <c r="E32" s="62"/>
      <c r="F32" s="64"/>
      <c r="G32" s="62"/>
      <c r="H32" s="63"/>
      <c r="I32" s="112" t="str">
        <f t="shared" si="0"/>
        <v/>
      </c>
      <c r="J32" s="62"/>
      <c r="K32" s="63"/>
    </row>
    <row r="33" spans="1:11" ht="15" customHeight="1" x14ac:dyDescent="0.25">
      <c r="A33" s="72"/>
      <c r="B33" s="57"/>
      <c r="C33" s="58"/>
      <c r="D33" s="57"/>
      <c r="E33" s="57"/>
      <c r="F33" s="59"/>
      <c r="G33" s="57"/>
      <c r="H33" s="58"/>
      <c r="I33" s="111" t="str">
        <f t="shared" si="0"/>
        <v/>
      </c>
      <c r="J33" s="57"/>
      <c r="K33" s="58"/>
    </row>
    <row r="34" spans="1:11" ht="15" customHeight="1" x14ac:dyDescent="0.25">
      <c r="A34" s="74"/>
      <c r="B34" s="62"/>
      <c r="C34" s="63"/>
      <c r="D34" s="62"/>
      <c r="E34" s="62"/>
      <c r="F34" s="64"/>
      <c r="G34" s="62"/>
      <c r="H34" s="63"/>
      <c r="I34" s="112" t="str">
        <f t="shared" si="0"/>
        <v/>
      </c>
      <c r="J34" s="62"/>
      <c r="K34" s="63"/>
    </row>
    <row r="35" spans="1:11" ht="15" customHeight="1" x14ac:dyDescent="0.25">
      <c r="A35" s="72"/>
      <c r="B35" s="57"/>
      <c r="C35" s="58"/>
      <c r="D35" s="57"/>
      <c r="E35" s="57"/>
      <c r="F35" s="59"/>
      <c r="G35" s="57"/>
      <c r="H35" s="58"/>
      <c r="I35" s="111" t="str">
        <f t="shared" si="0"/>
        <v/>
      </c>
      <c r="J35" s="57"/>
      <c r="K35" s="58"/>
    </row>
    <row r="36" spans="1:11" ht="15" customHeight="1" x14ac:dyDescent="0.25">
      <c r="A36" s="74"/>
      <c r="B36" s="62"/>
      <c r="C36" s="63"/>
      <c r="D36" s="62"/>
      <c r="E36" s="62"/>
      <c r="F36" s="64"/>
      <c r="G36" s="62"/>
      <c r="H36" s="63"/>
      <c r="I36" s="112" t="str">
        <f t="shared" si="0"/>
        <v/>
      </c>
      <c r="J36" s="62"/>
      <c r="K36" s="63"/>
    </row>
    <row r="37" spans="1:11" ht="15" customHeight="1" x14ac:dyDescent="0.25">
      <c r="A37" s="72"/>
      <c r="B37" s="57"/>
      <c r="C37" s="58"/>
      <c r="D37" s="57"/>
      <c r="E37" s="57"/>
      <c r="F37" s="59"/>
      <c r="G37" s="57"/>
      <c r="H37" s="58"/>
      <c r="I37" s="111" t="str">
        <f t="shared" si="0"/>
        <v/>
      </c>
      <c r="J37" s="57"/>
      <c r="K37" s="58"/>
    </row>
    <row r="38" spans="1:11" ht="15" customHeight="1" x14ac:dyDescent="0.25">
      <c r="A38" s="74"/>
      <c r="B38" s="62"/>
      <c r="C38" s="63"/>
      <c r="D38" s="62"/>
      <c r="E38" s="62"/>
      <c r="F38" s="64"/>
      <c r="G38" s="62"/>
      <c r="H38" s="63"/>
      <c r="I38" s="112" t="str">
        <f t="shared" ref="I38:I69" si="1">IF(F38="","",IF(I37="",F38,I37+F38))</f>
        <v/>
      </c>
      <c r="J38" s="62"/>
      <c r="K38" s="63"/>
    </row>
    <row r="39" spans="1:11" ht="15" customHeight="1" x14ac:dyDescent="0.25">
      <c r="A39" s="72"/>
      <c r="B39" s="57"/>
      <c r="C39" s="58"/>
      <c r="D39" s="57"/>
      <c r="E39" s="57"/>
      <c r="F39" s="59"/>
      <c r="G39" s="57"/>
      <c r="H39" s="58"/>
      <c r="I39" s="111" t="str">
        <f t="shared" si="1"/>
        <v/>
      </c>
      <c r="J39" s="57"/>
      <c r="K39" s="58"/>
    </row>
    <row r="40" spans="1:11" ht="15" customHeight="1" x14ac:dyDescent="0.25">
      <c r="A40" s="74"/>
      <c r="B40" s="62"/>
      <c r="C40" s="63"/>
      <c r="D40" s="62"/>
      <c r="E40" s="62"/>
      <c r="F40" s="64"/>
      <c r="G40" s="62"/>
      <c r="H40" s="63"/>
      <c r="I40" s="112" t="str">
        <f t="shared" si="1"/>
        <v/>
      </c>
      <c r="J40" s="62"/>
      <c r="K40" s="63"/>
    </row>
    <row r="41" spans="1:11" ht="15" customHeight="1" x14ac:dyDescent="0.25">
      <c r="A41" s="72"/>
      <c r="B41" s="57"/>
      <c r="C41" s="58"/>
      <c r="D41" s="57"/>
      <c r="E41" s="57"/>
      <c r="F41" s="59"/>
      <c r="G41" s="57"/>
      <c r="H41" s="58"/>
      <c r="I41" s="111" t="str">
        <f t="shared" si="1"/>
        <v/>
      </c>
      <c r="J41" s="57"/>
      <c r="K41" s="58"/>
    </row>
    <row r="42" spans="1:11" ht="15" customHeight="1" x14ac:dyDescent="0.25">
      <c r="A42" s="74"/>
      <c r="B42" s="62"/>
      <c r="C42" s="63"/>
      <c r="D42" s="62"/>
      <c r="E42" s="62"/>
      <c r="F42" s="64"/>
      <c r="G42" s="62"/>
      <c r="H42" s="63"/>
      <c r="I42" s="112" t="str">
        <f t="shared" si="1"/>
        <v/>
      </c>
      <c r="J42" s="62"/>
      <c r="K42" s="63"/>
    </row>
    <row r="43" spans="1:11" ht="15" customHeight="1" x14ac:dyDescent="0.25">
      <c r="A43" s="72"/>
      <c r="B43" s="57"/>
      <c r="C43" s="58"/>
      <c r="D43" s="57"/>
      <c r="E43" s="57"/>
      <c r="F43" s="59"/>
      <c r="G43" s="57"/>
      <c r="H43" s="58"/>
      <c r="I43" s="111" t="str">
        <f t="shared" si="1"/>
        <v/>
      </c>
      <c r="J43" s="57"/>
      <c r="K43" s="58"/>
    </row>
    <row r="44" spans="1:11" ht="15" customHeight="1" x14ac:dyDescent="0.25">
      <c r="A44" s="74"/>
      <c r="B44" s="62"/>
      <c r="C44" s="63"/>
      <c r="D44" s="62"/>
      <c r="E44" s="62"/>
      <c r="F44" s="64"/>
      <c r="G44" s="62"/>
      <c r="H44" s="63"/>
      <c r="I44" s="112" t="str">
        <f t="shared" si="1"/>
        <v/>
      </c>
      <c r="J44" s="62"/>
      <c r="K44" s="63"/>
    </row>
    <row r="45" spans="1:11" ht="15" customHeight="1" x14ac:dyDescent="0.25">
      <c r="A45" s="72"/>
      <c r="B45" s="57"/>
      <c r="C45" s="58"/>
      <c r="D45" s="57"/>
      <c r="E45" s="57"/>
      <c r="F45" s="59"/>
      <c r="G45" s="57"/>
      <c r="H45" s="58"/>
      <c r="I45" s="111" t="str">
        <f t="shared" si="1"/>
        <v/>
      </c>
      <c r="J45" s="57"/>
      <c r="K45" s="58"/>
    </row>
    <row r="46" spans="1:11" ht="15" customHeight="1" x14ac:dyDescent="0.25">
      <c r="A46" s="74"/>
      <c r="B46" s="62"/>
      <c r="C46" s="63"/>
      <c r="D46" s="62"/>
      <c r="E46" s="62"/>
      <c r="F46" s="64"/>
      <c r="G46" s="62"/>
      <c r="H46" s="63"/>
      <c r="I46" s="112" t="str">
        <f t="shared" si="1"/>
        <v/>
      </c>
      <c r="J46" s="62"/>
      <c r="K46" s="63"/>
    </row>
    <row r="47" spans="1:11" ht="15" customHeight="1" x14ac:dyDescent="0.25">
      <c r="A47" s="72"/>
      <c r="B47" s="57"/>
      <c r="C47" s="58"/>
      <c r="D47" s="57"/>
      <c r="E47" s="57"/>
      <c r="F47" s="59"/>
      <c r="G47" s="57"/>
      <c r="H47" s="58"/>
      <c r="I47" s="111" t="str">
        <f t="shared" si="1"/>
        <v/>
      </c>
      <c r="J47" s="57"/>
      <c r="K47" s="58"/>
    </row>
    <row r="48" spans="1:11" ht="15" customHeight="1" x14ac:dyDescent="0.25">
      <c r="A48" s="74"/>
      <c r="B48" s="62"/>
      <c r="C48" s="63"/>
      <c r="D48" s="62"/>
      <c r="E48" s="62"/>
      <c r="F48" s="64"/>
      <c r="G48" s="62"/>
      <c r="H48" s="63"/>
      <c r="I48" s="112" t="str">
        <f t="shared" si="1"/>
        <v/>
      </c>
      <c r="J48" s="62"/>
      <c r="K48" s="63"/>
    </row>
    <row r="49" spans="1:11" ht="15" customHeight="1" x14ac:dyDescent="0.25">
      <c r="A49" s="72"/>
      <c r="B49" s="57"/>
      <c r="C49" s="58"/>
      <c r="D49" s="57"/>
      <c r="E49" s="57"/>
      <c r="F49" s="59"/>
      <c r="G49" s="57"/>
      <c r="H49" s="58"/>
      <c r="I49" s="111" t="str">
        <f t="shared" si="1"/>
        <v/>
      </c>
      <c r="J49" s="57"/>
      <c r="K49" s="58"/>
    </row>
    <row r="50" spans="1:11" ht="15" customHeight="1" x14ac:dyDescent="0.25">
      <c r="A50" s="74"/>
      <c r="B50" s="62"/>
      <c r="C50" s="63"/>
      <c r="D50" s="62"/>
      <c r="E50" s="62"/>
      <c r="F50" s="64"/>
      <c r="G50" s="62"/>
      <c r="H50" s="63"/>
      <c r="I50" s="112" t="str">
        <f t="shared" si="1"/>
        <v/>
      </c>
      <c r="J50" s="62"/>
      <c r="K50" s="63"/>
    </row>
    <row r="51" spans="1:11" ht="15" customHeight="1" x14ac:dyDescent="0.25">
      <c r="A51" s="72"/>
      <c r="B51" s="57"/>
      <c r="C51" s="58"/>
      <c r="D51" s="57"/>
      <c r="E51" s="57"/>
      <c r="F51" s="59"/>
      <c r="G51" s="57"/>
      <c r="H51" s="58"/>
      <c r="I51" s="111" t="str">
        <f t="shared" si="1"/>
        <v/>
      </c>
      <c r="J51" s="57"/>
      <c r="K51" s="58"/>
    </row>
    <row r="52" spans="1:11" ht="15" customHeight="1" x14ac:dyDescent="0.25">
      <c r="A52" s="74"/>
      <c r="B52" s="62"/>
      <c r="C52" s="63"/>
      <c r="D52" s="62"/>
      <c r="E52" s="62"/>
      <c r="F52" s="64"/>
      <c r="G52" s="62"/>
      <c r="H52" s="63"/>
      <c r="I52" s="112" t="str">
        <f t="shared" si="1"/>
        <v/>
      </c>
      <c r="J52" s="62"/>
      <c r="K52" s="63"/>
    </row>
    <row r="53" spans="1:11" ht="15" customHeight="1" x14ac:dyDescent="0.25">
      <c r="A53" s="72"/>
      <c r="B53" s="57"/>
      <c r="C53" s="58"/>
      <c r="D53" s="57"/>
      <c r="E53" s="57"/>
      <c r="F53" s="59"/>
      <c r="G53" s="57"/>
      <c r="H53" s="58"/>
      <c r="I53" s="111" t="str">
        <f t="shared" si="1"/>
        <v/>
      </c>
      <c r="J53" s="57"/>
      <c r="K53" s="58"/>
    </row>
    <row r="54" spans="1:11" ht="15" customHeight="1" x14ac:dyDescent="0.25">
      <c r="A54" s="74"/>
      <c r="B54" s="62"/>
      <c r="C54" s="63"/>
      <c r="D54" s="62"/>
      <c r="E54" s="62"/>
      <c r="F54" s="64"/>
      <c r="G54" s="62"/>
      <c r="H54" s="63"/>
      <c r="I54" s="112" t="str">
        <f t="shared" si="1"/>
        <v/>
      </c>
      <c r="J54" s="62"/>
      <c r="K54" s="63"/>
    </row>
    <row r="55" spans="1:11" ht="15" customHeight="1" x14ac:dyDescent="0.25">
      <c r="A55" s="72"/>
      <c r="B55" s="57"/>
      <c r="C55" s="58"/>
      <c r="D55" s="57"/>
      <c r="E55" s="57"/>
      <c r="F55" s="59"/>
      <c r="G55" s="57"/>
      <c r="H55" s="58"/>
      <c r="I55" s="111" t="str">
        <f t="shared" si="1"/>
        <v/>
      </c>
      <c r="J55" s="57"/>
      <c r="K55" s="58"/>
    </row>
    <row r="56" spans="1:11" ht="15" customHeight="1" x14ac:dyDescent="0.25">
      <c r="A56" s="74"/>
      <c r="B56" s="62"/>
      <c r="C56" s="63"/>
      <c r="D56" s="62"/>
      <c r="E56" s="62"/>
      <c r="F56" s="64"/>
      <c r="G56" s="62"/>
      <c r="H56" s="63"/>
      <c r="I56" s="112" t="str">
        <f t="shared" si="1"/>
        <v/>
      </c>
      <c r="J56" s="62"/>
      <c r="K56" s="63"/>
    </row>
    <row r="57" spans="1:11" ht="15" customHeight="1" x14ac:dyDescent="0.25">
      <c r="A57" s="72"/>
      <c r="B57" s="57"/>
      <c r="C57" s="58"/>
      <c r="D57" s="57"/>
      <c r="E57" s="57"/>
      <c r="F57" s="59"/>
      <c r="G57" s="57"/>
      <c r="H57" s="58"/>
      <c r="I57" s="111" t="str">
        <f t="shared" si="1"/>
        <v/>
      </c>
      <c r="J57" s="57"/>
      <c r="K57" s="58"/>
    </row>
    <row r="58" spans="1:11" ht="15" customHeight="1" x14ac:dyDescent="0.25">
      <c r="A58" s="74"/>
      <c r="B58" s="62"/>
      <c r="C58" s="63"/>
      <c r="D58" s="62"/>
      <c r="E58" s="62"/>
      <c r="F58" s="64"/>
      <c r="G58" s="62"/>
      <c r="H58" s="63"/>
      <c r="I58" s="112" t="str">
        <f t="shared" si="1"/>
        <v/>
      </c>
      <c r="J58" s="62"/>
      <c r="K58" s="63"/>
    </row>
    <row r="59" spans="1:11" ht="15" customHeight="1" x14ac:dyDescent="0.25">
      <c r="A59" s="72"/>
      <c r="B59" s="57"/>
      <c r="C59" s="58"/>
      <c r="D59" s="57"/>
      <c r="E59" s="57"/>
      <c r="F59" s="59"/>
      <c r="G59" s="57"/>
      <c r="H59" s="58"/>
      <c r="I59" s="111" t="str">
        <f t="shared" si="1"/>
        <v/>
      </c>
      <c r="J59" s="57"/>
      <c r="K59" s="58"/>
    </row>
    <row r="60" spans="1:11" ht="15" customHeight="1" x14ac:dyDescent="0.25">
      <c r="A60" s="74"/>
      <c r="B60" s="62"/>
      <c r="C60" s="63"/>
      <c r="D60" s="62"/>
      <c r="E60" s="62"/>
      <c r="F60" s="64"/>
      <c r="G60" s="62"/>
      <c r="H60" s="63"/>
      <c r="I60" s="112" t="str">
        <f t="shared" si="1"/>
        <v/>
      </c>
      <c r="J60" s="62"/>
      <c r="K60" s="63"/>
    </row>
    <row r="61" spans="1:11" ht="15" customHeight="1" x14ac:dyDescent="0.25">
      <c r="A61" s="72"/>
      <c r="B61" s="57"/>
      <c r="C61" s="58"/>
      <c r="D61" s="57"/>
      <c r="E61" s="57"/>
      <c r="F61" s="59"/>
      <c r="G61" s="57"/>
      <c r="H61" s="58"/>
      <c r="I61" s="111" t="str">
        <f t="shared" si="1"/>
        <v/>
      </c>
      <c r="J61" s="57"/>
      <c r="K61" s="58"/>
    </row>
    <row r="62" spans="1:11" ht="15" customHeight="1" x14ac:dyDescent="0.25">
      <c r="A62" s="74"/>
      <c r="B62" s="62"/>
      <c r="C62" s="63"/>
      <c r="D62" s="62"/>
      <c r="E62" s="62"/>
      <c r="F62" s="64"/>
      <c r="G62" s="62"/>
      <c r="H62" s="63"/>
      <c r="I62" s="112" t="str">
        <f t="shared" si="1"/>
        <v/>
      </c>
      <c r="J62" s="62"/>
      <c r="K62" s="63"/>
    </row>
    <row r="63" spans="1:11" ht="15" customHeight="1" x14ac:dyDescent="0.25">
      <c r="A63" s="72"/>
      <c r="B63" s="57"/>
      <c r="C63" s="58"/>
      <c r="D63" s="57"/>
      <c r="E63" s="57"/>
      <c r="F63" s="59"/>
      <c r="G63" s="57"/>
      <c r="H63" s="58"/>
      <c r="I63" s="111" t="str">
        <f t="shared" si="1"/>
        <v/>
      </c>
      <c r="J63" s="57"/>
      <c r="K63" s="58"/>
    </row>
    <row r="64" spans="1:11" ht="15" customHeight="1" x14ac:dyDescent="0.25">
      <c r="A64" s="74"/>
      <c r="B64" s="62"/>
      <c r="C64" s="63"/>
      <c r="D64" s="62"/>
      <c r="E64" s="62"/>
      <c r="F64" s="64"/>
      <c r="G64" s="62"/>
      <c r="H64" s="63"/>
      <c r="I64" s="112" t="str">
        <f t="shared" si="1"/>
        <v/>
      </c>
      <c r="J64" s="62"/>
      <c r="K64" s="63"/>
    </row>
    <row r="65" spans="1:11" ht="15" customHeight="1" x14ac:dyDescent="0.25">
      <c r="A65" s="72"/>
      <c r="B65" s="57"/>
      <c r="C65" s="58"/>
      <c r="D65" s="57"/>
      <c r="E65" s="57"/>
      <c r="F65" s="59"/>
      <c r="G65" s="57"/>
      <c r="H65" s="58"/>
      <c r="I65" s="111" t="str">
        <f t="shared" si="1"/>
        <v/>
      </c>
      <c r="J65" s="57"/>
      <c r="K65" s="58"/>
    </row>
    <row r="66" spans="1:11" ht="15" customHeight="1" x14ac:dyDescent="0.25">
      <c r="A66" s="74"/>
      <c r="B66" s="62"/>
      <c r="C66" s="63"/>
      <c r="D66" s="62"/>
      <c r="E66" s="62"/>
      <c r="F66" s="64"/>
      <c r="G66" s="62"/>
      <c r="H66" s="63"/>
      <c r="I66" s="112" t="str">
        <f t="shared" si="1"/>
        <v/>
      </c>
      <c r="J66" s="62"/>
      <c r="K66" s="63"/>
    </row>
    <row r="67" spans="1:11" ht="15" customHeight="1" x14ac:dyDescent="0.25">
      <c r="A67" s="72"/>
      <c r="B67" s="57"/>
      <c r="C67" s="58"/>
      <c r="D67" s="57"/>
      <c r="E67" s="57"/>
      <c r="F67" s="59"/>
      <c r="G67" s="57"/>
      <c r="H67" s="58"/>
      <c r="I67" s="111" t="str">
        <f t="shared" si="1"/>
        <v/>
      </c>
      <c r="J67" s="57"/>
      <c r="K67" s="58"/>
    </row>
    <row r="68" spans="1:11" ht="15" customHeight="1" x14ac:dyDescent="0.25">
      <c r="A68" s="74"/>
      <c r="B68" s="62"/>
      <c r="C68" s="63"/>
      <c r="D68" s="62"/>
      <c r="E68" s="62"/>
      <c r="F68" s="64"/>
      <c r="G68" s="62"/>
      <c r="H68" s="63"/>
      <c r="I68" s="112" t="str">
        <f t="shared" si="1"/>
        <v/>
      </c>
      <c r="J68" s="62"/>
      <c r="K68" s="63"/>
    </row>
    <row r="69" spans="1:11" ht="15" customHeight="1" x14ac:dyDescent="0.25">
      <c r="A69" s="72"/>
      <c r="B69" s="57"/>
      <c r="C69" s="58"/>
      <c r="D69" s="57"/>
      <c r="E69" s="57"/>
      <c r="F69" s="59"/>
      <c r="G69" s="57"/>
      <c r="H69" s="58"/>
      <c r="I69" s="111" t="str">
        <f t="shared" si="1"/>
        <v/>
      </c>
      <c r="J69" s="57"/>
      <c r="K69" s="58"/>
    </row>
    <row r="70" spans="1:11" ht="15" customHeight="1" x14ac:dyDescent="0.25">
      <c r="A70" s="74"/>
      <c r="B70" s="62"/>
      <c r="C70" s="63"/>
      <c r="D70" s="62"/>
      <c r="E70" s="62"/>
      <c r="F70" s="64"/>
      <c r="G70" s="62"/>
      <c r="H70" s="63"/>
      <c r="I70" s="112" t="str">
        <f t="shared" ref="I70:I101" si="2">IF(F70="","",IF(I69="",F70,I69+F70))</f>
        <v/>
      </c>
      <c r="J70" s="62"/>
      <c r="K70" s="63"/>
    </row>
    <row r="71" spans="1:11" ht="15" customHeight="1" x14ac:dyDescent="0.25">
      <c r="A71" s="72"/>
      <c r="B71" s="57"/>
      <c r="C71" s="58"/>
      <c r="D71" s="57"/>
      <c r="E71" s="57"/>
      <c r="F71" s="59"/>
      <c r="G71" s="57"/>
      <c r="H71" s="58"/>
      <c r="I71" s="111" t="str">
        <f t="shared" si="2"/>
        <v/>
      </c>
      <c r="J71" s="57"/>
      <c r="K71" s="58"/>
    </row>
    <row r="72" spans="1:11" ht="15" customHeight="1" x14ac:dyDescent="0.25">
      <c r="A72" s="74"/>
      <c r="B72" s="62"/>
      <c r="C72" s="63"/>
      <c r="D72" s="62"/>
      <c r="E72" s="62"/>
      <c r="F72" s="64"/>
      <c r="G72" s="62"/>
      <c r="H72" s="63"/>
      <c r="I72" s="112" t="str">
        <f t="shared" si="2"/>
        <v/>
      </c>
      <c r="J72" s="62"/>
      <c r="K72" s="63"/>
    </row>
    <row r="73" spans="1:11" ht="15" customHeight="1" x14ac:dyDescent="0.25">
      <c r="A73" s="72"/>
      <c r="B73" s="57"/>
      <c r="C73" s="58"/>
      <c r="D73" s="57"/>
      <c r="E73" s="57"/>
      <c r="F73" s="59"/>
      <c r="G73" s="57"/>
      <c r="H73" s="58"/>
      <c r="I73" s="111" t="str">
        <f t="shared" si="2"/>
        <v/>
      </c>
      <c r="J73" s="57"/>
      <c r="K73" s="58"/>
    </row>
    <row r="74" spans="1:11" ht="15" customHeight="1" x14ac:dyDescent="0.25">
      <c r="A74" s="74"/>
      <c r="B74" s="62"/>
      <c r="C74" s="63"/>
      <c r="D74" s="62"/>
      <c r="E74" s="62"/>
      <c r="F74" s="64"/>
      <c r="G74" s="62"/>
      <c r="H74" s="63"/>
      <c r="I74" s="112" t="str">
        <f t="shared" si="2"/>
        <v/>
      </c>
      <c r="J74" s="62"/>
      <c r="K74" s="63"/>
    </row>
    <row r="75" spans="1:11" ht="15" customHeight="1" x14ac:dyDescent="0.25">
      <c r="A75" s="72"/>
      <c r="B75" s="57"/>
      <c r="C75" s="58"/>
      <c r="D75" s="57"/>
      <c r="E75" s="57"/>
      <c r="F75" s="59"/>
      <c r="G75" s="57"/>
      <c r="H75" s="58"/>
      <c r="I75" s="111" t="str">
        <f t="shared" si="2"/>
        <v/>
      </c>
      <c r="J75" s="57"/>
      <c r="K75" s="58"/>
    </row>
    <row r="76" spans="1:11" ht="15" customHeight="1" x14ac:dyDescent="0.25">
      <c r="A76" s="74"/>
      <c r="B76" s="62"/>
      <c r="C76" s="63"/>
      <c r="D76" s="62"/>
      <c r="E76" s="62"/>
      <c r="F76" s="64"/>
      <c r="G76" s="62"/>
      <c r="H76" s="63"/>
      <c r="I76" s="112" t="str">
        <f t="shared" si="2"/>
        <v/>
      </c>
      <c r="J76" s="62"/>
      <c r="K76" s="63"/>
    </row>
    <row r="77" spans="1:11" ht="15" customHeight="1" x14ac:dyDescent="0.25">
      <c r="A77" s="72"/>
      <c r="B77" s="57"/>
      <c r="C77" s="58"/>
      <c r="D77" s="57"/>
      <c r="E77" s="57"/>
      <c r="F77" s="59"/>
      <c r="G77" s="57"/>
      <c r="H77" s="58"/>
      <c r="I77" s="111" t="str">
        <f t="shared" si="2"/>
        <v/>
      </c>
      <c r="J77" s="57"/>
      <c r="K77" s="58"/>
    </row>
    <row r="78" spans="1:11" ht="15" customHeight="1" x14ac:dyDescent="0.25">
      <c r="A78" s="74"/>
      <c r="B78" s="62"/>
      <c r="C78" s="63"/>
      <c r="D78" s="62"/>
      <c r="E78" s="62"/>
      <c r="F78" s="64"/>
      <c r="G78" s="62"/>
      <c r="H78" s="63"/>
      <c r="I78" s="112" t="str">
        <f t="shared" si="2"/>
        <v/>
      </c>
      <c r="J78" s="62"/>
      <c r="K78" s="63"/>
    </row>
    <row r="79" spans="1:11" ht="15" customHeight="1" x14ac:dyDescent="0.25">
      <c r="A79" s="72"/>
      <c r="B79" s="57"/>
      <c r="C79" s="58"/>
      <c r="D79" s="57"/>
      <c r="E79" s="57"/>
      <c r="F79" s="59"/>
      <c r="G79" s="57"/>
      <c r="H79" s="58"/>
      <c r="I79" s="111" t="str">
        <f t="shared" si="2"/>
        <v/>
      </c>
      <c r="J79" s="57"/>
      <c r="K79" s="58"/>
    </row>
    <row r="80" spans="1:11" ht="15" customHeight="1" x14ac:dyDescent="0.25">
      <c r="A80" s="74"/>
      <c r="B80" s="62"/>
      <c r="C80" s="63"/>
      <c r="D80" s="62"/>
      <c r="E80" s="62"/>
      <c r="F80" s="64"/>
      <c r="G80" s="62"/>
      <c r="H80" s="63"/>
      <c r="I80" s="112" t="str">
        <f t="shared" si="2"/>
        <v/>
      </c>
      <c r="J80" s="62"/>
      <c r="K80" s="63"/>
    </row>
    <row r="81" spans="1:11" ht="15" customHeight="1" x14ac:dyDescent="0.25">
      <c r="A81" s="72"/>
      <c r="B81" s="57"/>
      <c r="C81" s="58"/>
      <c r="D81" s="57"/>
      <c r="E81" s="57"/>
      <c r="F81" s="59"/>
      <c r="G81" s="57"/>
      <c r="H81" s="58"/>
      <c r="I81" s="111" t="str">
        <f t="shared" si="2"/>
        <v/>
      </c>
      <c r="J81" s="57"/>
      <c r="K81" s="58"/>
    </row>
    <row r="82" spans="1:11" ht="15" customHeight="1" x14ac:dyDescent="0.25">
      <c r="A82" s="74"/>
      <c r="B82" s="62"/>
      <c r="C82" s="63"/>
      <c r="D82" s="62"/>
      <c r="E82" s="62"/>
      <c r="F82" s="64"/>
      <c r="G82" s="62"/>
      <c r="H82" s="63"/>
      <c r="I82" s="112" t="str">
        <f t="shared" si="2"/>
        <v/>
      </c>
      <c r="J82" s="62"/>
      <c r="K82" s="63"/>
    </row>
    <row r="83" spans="1:11" ht="15" customHeight="1" x14ac:dyDescent="0.25">
      <c r="A83" s="72"/>
      <c r="B83" s="57"/>
      <c r="C83" s="58"/>
      <c r="D83" s="57"/>
      <c r="E83" s="57"/>
      <c r="F83" s="59"/>
      <c r="G83" s="57"/>
      <c r="H83" s="58"/>
      <c r="I83" s="111" t="str">
        <f t="shared" si="2"/>
        <v/>
      </c>
      <c r="J83" s="57"/>
      <c r="K83" s="58"/>
    </row>
    <row r="84" spans="1:11" ht="15" customHeight="1" x14ac:dyDescent="0.25">
      <c r="A84" s="74"/>
      <c r="B84" s="62"/>
      <c r="C84" s="63"/>
      <c r="D84" s="62"/>
      <c r="E84" s="62"/>
      <c r="F84" s="64"/>
      <c r="G84" s="62"/>
      <c r="H84" s="63"/>
      <c r="I84" s="112" t="str">
        <f t="shared" si="2"/>
        <v/>
      </c>
      <c r="J84" s="62"/>
      <c r="K84" s="63"/>
    </row>
    <row r="85" spans="1:11" ht="15" customHeight="1" x14ac:dyDescent="0.25">
      <c r="A85" s="72"/>
      <c r="B85" s="57"/>
      <c r="C85" s="58"/>
      <c r="D85" s="57"/>
      <c r="E85" s="57"/>
      <c r="F85" s="59"/>
      <c r="G85" s="57"/>
      <c r="H85" s="58"/>
      <c r="I85" s="111" t="str">
        <f t="shared" si="2"/>
        <v/>
      </c>
      <c r="J85" s="57"/>
      <c r="K85" s="58"/>
    </row>
    <row r="86" spans="1:11" ht="15" customHeight="1" x14ac:dyDescent="0.25">
      <c r="A86" s="74"/>
      <c r="B86" s="62"/>
      <c r="C86" s="63"/>
      <c r="D86" s="62"/>
      <c r="E86" s="62"/>
      <c r="F86" s="64"/>
      <c r="G86" s="62"/>
      <c r="H86" s="63"/>
      <c r="I86" s="112" t="str">
        <f t="shared" si="2"/>
        <v/>
      </c>
      <c r="J86" s="62"/>
      <c r="K86" s="63"/>
    </row>
    <row r="87" spans="1:11" ht="15" customHeight="1" x14ac:dyDescent="0.25">
      <c r="A87" s="72"/>
      <c r="B87" s="57"/>
      <c r="C87" s="58"/>
      <c r="D87" s="57"/>
      <c r="E87" s="57"/>
      <c r="F87" s="59"/>
      <c r="G87" s="57"/>
      <c r="H87" s="58"/>
      <c r="I87" s="111" t="str">
        <f t="shared" si="2"/>
        <v/>
      </c>
      <c r="J87" s="57"/>
      <c r="K87" s="58"/>
    </row>
    <row r="88" spans="1:11" ht="15" customHeight="1" x14ac:dyDescent="0.25">
      <c r="A88" s="74"/>
      <c r="B88" s="62"/>
      <c r="C88" s="63"/>
      <c r="D88" s="62"/>
      <c r="E88" s="62"/>
      <c r="F88" s="64"/>
      <c r="G88" s="62"/>
      <c r="H88" s="63"/>
      <c r="I88" s="112" t="str">
        <f t="shared" si="2"/>
        <v/>
      </c>
      <c r="J88" s="62"/>
      <c r="K88" s="63"/>
    </row>
    <row r="89" spans="1:11" ht="15" customHeight="1" x14ac:dyDescent="0.25">
      <c r="A89" s="72"/>
      <c r="B89" s="57"/>
      <c r="C89" s="58"/>
      <c r="D89" s="57"/>
      <c r="E89" s="57"/>
      <c r="F89" s="59"/>
      <c r="G89" s="57"/>
      <c r="H89" s="58"/>
      <c r="I89" s="111" t="str">
        <f t="shared" si="2"/>
        <v/>
      </c>
      <c r="J89" s="57"/>
      <c r="K89" s="58"/>
    </row>
    <row r="90" spans="1:11" ht="15" customHeight="1" x14ac:dyDescent="0.25">
      <c r="A90" s="74"/>
      <c r="B90" s="62"/>
      <c r="C90" s="63"/>
      <c r="D90" s="62"/>
      <c r="E90" s="62"/>
      <c r="F90" s="64"/>
      <c r="G90" s="62"/>
      <c r="H90" s="63"/>
      <c r="I90" s="112" t="str">
        <f t="shared" si="2"/>
        <v/>
      </c>
      <c r="J90" s="62"/>
      <c r="K90" s="63"/>
    </row>
    <row r="91" spans="1:11" ht="15" customHeight="1" x14ac:dyDescent="0.25">
      <c r="A91" s="72"/>
      <c r="B91" s="57"/>
      <c r="C91" s="58"/>
      <c r="D91" s="57"/>
      <c r="E91" s="57"/>
      <c r="F91" s="59"/>
      <c r="G91" s="57"/>
      <c r="H91" s="58"/>
      <c r="I91" s="111" t="str">
        <f t="shared" si="2"/>
        <v/>
      </c>
      <c r="J91" s="57"/>
      <c r="K91" s="58"/>
    </row>
    <row r="92" spans="1:11" ht="15" customHeight="1" x14ac:dyDescent="0.25">
      <c r="A92" s="74"/>
      <c r="B92" s="62"/>
      <c r="C92" s="63"/>
      <c r="D92" s="62"/>
      <c r="E92" s="62"/>
      <c r="F92" s="64"/>
      <c r="G92" s="62"/>
      <c r="H92" s="63"/>
      <c r="I92" s="112" t="str">
        <f t="shared" si="2"/>
        <v/>
      </c>
      <c r="J92" s="62"/>
      <c r="K92" s="63"/>
    </row>
    <row r="93" spans="1:11" ht="15" customHeight="1" x14ac:dyDescent="0.25">
      <c r="A93" s="72"/>
      <c r="B93" s="57"/>
      <c r="C93" s="58"/>
      <c r="D93" s="57"/>
      <c r="E93" s="57"/>
      <c r="F93" s="59"/>
      <c r="G93" s="57"/>
      <c r="H93" s="58"/>
      <c r="I93" s="111" t="str">
        <f t="shared" si="2"/>
        <v/>
      </c>
      <c r="J93" s="57"/>
      <c r="K93" s="58"/>
    </row>
    <row r="94" spans="1:11" ht="15" customHeight="1" x14ac:dyDescent="0.25">
      <c r="A94" s="74"/>
      <c r="B94" s="62"/>
      <c r="C94" s="63"/>
      <c r="D94" s="62"/>
      <c r="E94" s="62"/>
      <c r="F94" s="64"/>
      <c r="G94" s="62"/>
      <c r="H94" s="63"/>
      <c r="I94" s="112" t="str">
        <f t="shared" si="2"/>
        <v/>
      </c>
      <c r="J94" s="62"/>
      <c r="K94" s="63"/>
    </row>
    <row r="95" spans="1:11" ht="15" customHeight="1" x14ac:dyDescent="0.25">
      <c r="A95" s="72"/>
      <c r="B95" s="57"/>
      <c r="C95" s="58"/>
      <c r="D95" s="57"/>
      <c r="E95" s="57"/>
      <c r="F95" s="59"/>
      <c r="G95" s="57"/>
      <c r="H95" s="58"/>
      <c r="I95" s="111" t="str">
        <f t="shared" si="2"/>
        <v/>
      </c>
      <c r="J95" s="57"/>
      <c r="K95" s="58"/>
    </row>
    <row r="96" spans="1:11" ht="15" customHeight="1" x14ac:dyDescent="0.25">
      <c r="A96" s="74"/>
      <c r="B96" s="62"/>
      <c r="C96" s="63"/>
      <c r="D96" s="62"/>
      <c r="E96" s="62"/>
      <c r="F96" s="64"/>
      <c r="G96" s="62"/>
      <c r="H96" s="63"/>
      <c r="I96" s="112" t="str">
        <f t="shared" si="2"/>
        <v/>
      </c>
      <c r="J96" s="62"/>
      <c r="K96" s="63"/>
    </row>
    <row r="97" spans="1:11" ht="15" customHeight="1" x14ac:dyDescent="0.25">
      <c r="A97" s="72"/>
      <c r="B97" s="57"/>
      <c r="C97" s="58"/>
      <c r="D97" s="57"/>
      <c r="E97" s="57"/>
      <c r="F97" s="59"/>
      <c r="G97" s="57"/>
      <c r="H97" s="58"/>
      <c r="I97" s="111" t="str">
        <f t="shared" si="2"/>
        <v/>
      </c>
      <c r="J97" s="57"/>
      <c r="K97" s="58"/>
    </row>
    <row r="98" spans="1:11" ht="15" customHeight="1" x14ac:dyDescent="0.25">
      <c r="A98" s="74"/>
      <c r="B98" s="62"/>
      <c r="C98" s="63"/>
      <c r="D98" s="62"/>
      <c r="E98" s="62"/>
      <c r="F98" s="64"/>
      <c r="G98" s="62"/>
      <c r="H98" s="63"/>
      <c r="I98" s="112" t="str">
        <f t="shared" si="2"/>
        <v/>
      </c>
      <c r="J98" s="62"/>
      <c r="K98" s="63"/>
    </row>
    <row r="99" spans="1:11" ht="15" customHeight="1" x14ac:dyDescent="0.25">
      <c r="A99" s="72"/>
      <c r="B99" s="57"/>
      <c r="C99" s="58"/>
      <c r="D99" s="57"/>
      <c r="E99" s="57"/>
      <c r="F99" s="59"/>
      <c r="G99" s="57"/>
      <c r="H99" s="58"/>
      <c r="I99" s="111" t="str">
        <f t="shared" si="2"/>
        <v/>
      </c>
      <c r="J99" s="57"/>
      <c r="K99" s="58"/>
    </row>
    <row r="100" spans="1:11" ht="15" customHeight="1" x14ac:dyDescent="0.25">
      <c r="A100" s="74"/>
      <c r="B100" s="62"/>
      <c r="C100" s="63"/>
      <c r="D100" s="62"/>
      <c r="E100" s="62"/>
      <c r="F100" s="64"/>
      <c r="G100" s="62"/>
      <c r="H100" s="63"/>
      <c r="I100" s="112" t="str">
        <f t="shared" si="2"/>
        <v/>
      </c>
      <c r="J100" s="62"/>
      <c r="K100" s="63"/>
    </row>
    <row r="101" spans="1:11" ht="15" customHeight="1" x14ac:dyDescent="0.25">
      <c r="A101" s="72"/>
      <c r="B101" s="57"/>
      <c r="C101" s="58"/>
      <c r="D101" s="57"/>
      <c r="E101" s="57"/>
      <c r="F101" s="59"/>
      <c r="G101" s="57"/>
      <c r="H101" s="58"/>
      <c r="I101" s="111" t="str">
        <f t="shared" si="2"/>
        <v/>
      </c>
      <c r="J101" s="57"/>
      <c r="K101" s="58"/>
    </row>
    <row r="102" spans="1:11" ht="15" customHeight="1" x14ac:dyDescent="0.25">
      <c r="A102" s="74"/>
      <c r="B102" s="62"/>
      <c r="C102" s="63"/>
      <c r="D102" s="62"/>
      <c r="E102" s="62"/>
      <c r="F102" s="64"/>
      <c r="G102" s="62"/>
      <c r="H102" s="63"/>
      <c r="I102" s="112" t="str">
        <f t="shared" ref="I102:I133" si="3">IF(F102="","",IF(I101="",F102,I101+F102))</f>
        <v/>
      </c>
      <c r="J102" s="62"/>
      <c r="K102" s="63"/>
    </row>
    <row r="103" spans="1:11" ht="15" customHeight="1" x14ac:dyDescent="0.25">
      <c r="A103" s="72"/>
      <c r="B103" s="57"/>
      <c r="C103" s="58"/>
      <c r="D103" s="57"/>
      <c r="E103" s="57"/>
      <c r="F103" s="59"/>
      <c r="G103" s="57"/>
      <c r="H103" s="58"/>
      <c r="I103" s="111" t="str">
        <f t="shared" si="3"/>
        <v/>
      </c>
      <c r="J103" s="57"/>
      <c r="K103" s="58"/>
    </row>
    <row r="104" spans="1:11" ht="15" customHeight="1" x14ac:dyDescent="0.25">
      <c r="A104" s="74"/>
      <c r="B104" s="62"/>
      <c r="C104" s="63"/>
      <c r="D104" s="62"/>
      <c r="E104" s="62"/>
      <c r="F104" s="64"/>
      <c r="G104" s="62"/>
      <c r="H104" s="63"/>
      <c r="I104" s="112" t="str">
        <f t="shared" si="3"/>
        <v/>
      </c>
      <c r="J104" s="62"/>
      <c r="K104" s="63"/>
    </row>
    <row r="105" spans="1:11" ht="15" customHeight="1" x14ac:dyDescent="0.25">
      <c r="A105" s="72"/>
      <c r="B105" s="57"/>
      <c r="C105" s="58"/>
      <c r="D105" s="57"/>
      <c r="E105" s="57"/>
      <c r="F105" s="59"/>
      <c r="G105" s="57"/>
      <c r="H105" s="58"/>
      <c r="I105" s="111" t="str">
        <f t="shared" si="3"/>
        <v/>
      </c>
      <c r="J105" s="57"/>
      <c r="K105" s="58"/>
    </row>
    <row r="106" spans="1:11" ht="15" customHeight="1" x14ac:dyDescent="0.25">
      <c r="A106" s="74"/>
      <c r="B106" s="62"/>
      <c r="C106" s="63"/>
      <c r="D106" s="62"/>
      <c r="E106" s="62"/>
      <c r="F106" s="64"/>
      <c r="G106" s="62"/>
      <c r="H106" s="63"/>
      <c r="I106" s="112" t="str">
        <f t="shared" si="3"/>
        <v/>
      </c>
      <c r="J106" s="62"/>
      <c r="K106" s="63"/>
    </row>
    <row r="107" spans="1:11" ht="15" customHeight="1" x14ac:dyDescent="0.25">
      <c r="A107" s="72"/>
      <c r="B107" s="57"/>
      <c r="C107" s="58"/>
      <c r="D107" s="57"/>
      <c r="E107" s="57"/>
      <c r="F107" s="59"/>
      <c r="G107" s="57"/>
      <c r="H107" s="58"/>
      <c r="I107" s="111" t="str">
        <f t="shared" si="3"/>
        <v/>
      </c>
      <c r="J107" s="57"/>
      <c r="K107" s="58"/>
    </row>
    <row r="108" spans="1:11" ht="15" customHeight="1" x14ac:dyDescent="0.25">
      <c r="A108" s="74"/>
      <c r="B108" s="62"/>
      <c r="C108" s="63"/>
      <c r="D108" s="62"/>
      <c r="E108" s="62"/>
      <c r="F108" s="64"/>
      <c r="G108" s="62"/>
      <c r="H108" s="63"/>
      <c r="I108" s="112" t="str">
        <f t="shared" si="3"/>
        <v/>
      </c>
      <c r="J108" s="62"/>
      <c r="K108" s="63"/>
    </row>
    <row r="109" spans="1:11" ht="15" customHeight="1" x14ac:dyDescent="0.25">
      <c r="A109" s="72"/>
      <c r="B109" s="57"/>
      <c r="C109" s="58"/>
      <c r="D109" s="57"/>
      <c r="E109" s="57"/>
      <c r="F109" s="59"/>
      <c r="G109" s="57"/>
      <c r="H109" s="58"/>
      <c r="I109" s="111" t="str">
        <f t="shared" si="3"/>
        <v/>
      </c>
      <c r="J109" s="57"/>
      <c r="K109" s="58"/>
    </row>
    <row r="110" spans="1:11" ht="15" customHeight="1" x14ac:dyDescent="0.25">
      <c r="A110" s="74"/>
      <c r="B110" s="62"/>
      <c r="C110" s="63"/>
      <c r="D110" s="62"/>
      <c r="E110" s="62"/>
      <c r="F110" s="64"/>
      <c r="G110" s="62"/>
      <c r="H110" s="63"/>
      <c r="I110" s="112" t="str">
        <f t="shared" si="3"/>
        <v/>
      </c>
      <c r="J110" s="62"/>
      <c r="K110" s="63"/>
    </row>
    <row r="111" spans="1:11" ht="15" customHeight="1" x14ac:dyDescent="0.25">
      <c r="A111" s="72"/>
      <c r="B111" s="57"/>
      <c r="C111" s="58"/>
      <c r="D111" s="57"/>
      <c r="E111" s="57"/>
      <c r="F111" s="59"/>
      <c r="G111" s="57"/>
      <c r="H111" s="58"/>
      <c r="I111" s="111" t="str">
        <f t="shared" si="3"/>
        <v/>
      </c>
      <c r="J111" s="57"/>
      <c r="K111" s="58"/>
    </row>
    <row r="112" spans="1:11" ht="15" customHeight="1" x14ac:dyDescent="0.25">
      <c r="A112" s="74"/>
      <c r="B112" s="62"/>
      <c r="C112" s="63"/>
      <c r="D112" s="62"/>
      <c r="E112" s="62"/>
      <c r="F112" s="64"/>
      <c r="G112" s="62"/>
      <c r="H112" s="63"/>
      <c r="I112" s="112" t="str">
        <f t="shared" si="3"/>
        <v/>
      </c>
      <c r="J112" s="62"/>
      <c r="K112" s="63"/>
    </row>
    <row r="113" spans="1:11" ht="15" customHeight="1" x14ac:dyDescent="0.25">
      <c r="A113" s="72"/>
      <c r="B113" s="57"/>
      <c r="C113" s="58"/>
      <c r="D113" s="57"/>
      <c r="E113" s="57"/>
      <c r="F113" s="59"/>
      <c r="G113" s="57"/>
      <c r="H113" s="58"/>
      <c r="I113" s="111" t="str">
        <f t="shared" si="3"/>
        <v/>
      </c>
      <c r="J113" s="57"/>
      <c r="K113" s="58"/>
    </row>
    <row r="114" spans="1:11" ht="15" customHeight="1" x14ac:dyDescent="0.25">
      <c r="A114" s="74"/>
      <c r="B114" s="62"/>
      <c r="C114" s="63"/>
      <c r="D114" s="62"/>
      <c r="E114" s="62"/>
      <c r="F114" s="64"/>
      <c r="G114" s="62"/>
      <c r="H114" s="63"/>
      <c r="I114" s="112" t="str">
        <f t="shared" si="3"/>
        <v/>
      </c>
      <c r="J114" s="62"/>
      <c r="K114" s="63"/>
    </row>
    <row r="115" spans="1:11" ht="15" customHeight="1" x14ac:dyDescent="0.25">
      <c r="A115" s="72"/>
      <c r="B115" s="57"/>
      <c r="C115" s="58"/>
      <c r="D115" s="57"/>
      <c r="E115" s="57"/>
      <c r="F115" s="59"/>
      <c r="G115" s="57"/>
      <c r="H115" s="58"/>
      <c r="I115" s="111" t="str">
        <f t="shared" si="3"/>
        <v/>
      </c>
      <c r="J115" s="57"/>
      <c r="K115" s="58"/>
    </row>
    <row r="116" spans="1:11" ht="15" customHeight="1" x14ac:dyDescent="0.25">
      <c r="A116" s="74"/>
      <c r="B116" s="62"/>
      <c r="C116" s="63"/>
      <c r="D116" s="62"/>
      <c r="E116" s="62"/>
      <c r="F116" s="64"/>
      <c r="G116" s="62"/>
      <c r="H116" s="63"/>
      <c r="I116" s="112" t="str">
        <f t="shared" si="3"/>
        <v/>
      </c>
      <c r="J116" s="62"/>
      <c r="K116" s="63"/>
    </row>
    <row r="117" spans="1:11" ht="15" customHeight="1" x14ac:dyDescent="0.25">
      <c r="A117" s="72"/>
      <c r="B117" s="57"/>
      <c r="C117" s="58"/>
      <c r="D117" s="57"/>
      <c r="E117" s="57"/>
      <c r="F117" s="59"/>
      <c r="G117" s="57"/>
      <c r="H117" s="58"/>
      <c r="I117" s="111" t="str">
        <f t="shared" si="3"/>
        <v/>
      </c>
      <c r="J117" s="57"/>
      <c r="K117" s="58"/>
    </row>
    <row r="118" spans="1:11" ht="15" customHeight="1" x14ac:dyDescent="0.25">
      <c r="A118" s="74"/>
      <c r="B118" s="62"/>
      <c r="C118" s="63"/>
      <c r="D118" s="62"/>
      <c r="E118" s="62"/>
      <c r="F118" s="64"/>
      <c r="G118" s="62"/>
      <c r="H118" s="63"/>
      <c r="I118" s="112" t="str">
        <f t="shared" si="3"/>
        <v/>
      </c>
      <c r="J118" s="62"/>
      <c r="K118" s="63"/>
    </row>
    <row r="119" spans="1:11" ht="15" customHeight="1" x14ac:dyDescent="0.25">
      <c r="A119" s="72"/>
      <c r="B119" s="57"/>
      <c r="C119" s="58"/>
      <c r="D119" s="57"/>
      <c r="E119" s="57"/>
      <c r="F119" s="59"/>
      <c r="G119" s="57"/>
      <c r="H119" s="58"/>
      <c r="I119" s="111" t="str">
        <f t="shared" si="3"/>
        <v/>
      </c>
      <c r="J119" s="57"/>
      <c r="K119" s="58"/>
    </row>
    <row r="120" spans="1:11" ht="15" customHeight="1" x14ac:dyDescent="0.25">
      <c r="A120" s="74"/>
      <c r="B120" s="62"/>
      <c r="C120" s="63"/>
      <c r="D120" s="62"/>
      <c r="E120" s="62"/>
      <c r="F120" s="64"/>
      <c r="G120" s="62"/>
      <c r="H120" s="63"/>
      <c r="I120" s="112" t="str">
        <f t="shared" si="3"/>
        <v/>
      </c>
      <c r="J120" s="62"/>
      <c r="K120" s="63"/>
    </row>
    <row r="121" spans="1:11" ht="15" customHeight="1" x14ac:dyDescent="0.25">
      <c r="A121" s="72"/>
      <c r="B121" s="57"/>
      <c r="C121" s="58"/>
      <c r="D121" s="57"/>
      <c r="E121" s="57"/>
      <c r="F121" s="59"/>
      <c r="G121" s="57"/>
      <c r="H121" s="58"/>
      <c r="I121" s="111" t="str">
        <f t="shared" si="3"/>
        <v/>
      </c>
      <c r="J121" s="57"/>
      <c r="K121" s="58"/>
    </row>
    <row r="122" spans="1:11" ht="15" customHeight="1" x14ac:dyDescent="0.25">
      <c r="A122" s="74"/>
      <c r="B122" s="62"/>
      <c r="C122" s="63"/>
      <c r="D122" s="62"/>
      <c r="E122" s="62"/>
      <c r="F122" s="64"/>
      <c r="G122" s="62"/>
      <c r="H122" s="63"/>
      <c r="I122" s="112" t="str">
        <f t="shared" si="3"/>
        <v/>
      </c>
      <c r="J122" s="62"/>
      <c r="K122" s="63"/>
    </row>
    <row r="123" spans="1:11" ht="15" customHeight="1" x14ac:dyDescent="0.25">
      <c r="A123" s="72"/>
      <c r="B123" s="57"/>
      <c r="C123" s="58"/>
      <c r="D123" s="57"/>
      <c r="E123" s="57"/>
      <c r="F123" s="59"/>
      <c r="G123" s="57"/>
      <c r="H123" s="58"/>
      <c r="I123" s="111" t="str">
        <f t="shared" si="3"/>
        <v/>
      </c>
      <c r="J123" s="57"/>
      <c r="K123" s="58"/>
    </row>
    <row r="124" spans="1:11" ht="15" customHeight="1" x14ac:dyDescent="0.25">
      <c r="A124" s="74"/>
      <c r="B124" s="62"/>
      <c r="C124" s="63"/>
      <c r="D124" s="62"/>
      <c r="E124" s="62"/>
      <c r="F124" s="64"/>
      <c r="G124" s="62"/>
      <c r="H124" s="63"/>
      <c r="I124" s="112" t="str">
        <f t="shared" si="3"/>
        <v/>
      </c>
      <c r="J124" s="62"/>
      <c r="K124" s="63"/>
    </row>
    <row r="125" spans="1:11" ht="15" customHeight="1" x14ac:dyDescent="0.25">
      <c r="A125" s="72"/>
      <c r="B125" s="57"/>
      <c r="C125" s="58"/>
      <c r="D125" s="57"/>
      <c r="E125" s="57"/>
      <c r="F125" s="59"/>
      <c r="G125" s="57"/>
      <c r="H125" s="58"/>
      <c r="I125" s="111" t="str">
        <f t="shared" si="3"/>
        <v/>
      </c>
      <c r="J125" s="57"/>
      <c r="K125" s="58"/>
    </row>
    <row r="126" spans="1:11" ht="15" customHeight="1" x14ac:dyDescent="0.25">
      <c r="A126" s="74"/>
      <c r="B126" s="62"/>
      <c r="C126" s="63"/>
      <c r="D126" s="62"/>
      <c r="E126" s="62"/>
      <c r="F126" s="64"/>
      <c r="G126" s="62"/>
      <c r="H126" s="63"/>
      <c r="I126" s="112" t="str">
        <f t="shared" si="3"/>
        <v/>
      </c>
      <c r="J126" s="62"/>
      <c r="K126" s="63"/>
    </row>
    <row r="127" spans="1:11" ht="15" customHeight="1" x14ac:dyDescent="0.25">
      <c r="A127" s="72"/>
      <c r="B127" s="57"/>
      <c r="C127" s="58"/>
      <c r="D127" s="57"/>
      <c r="E127" s="57"/>
      <c r="F127" s="59"/>
      <c r="G127" s="57"/>
      <c r="H127" s="58"/>
      <c r="I127" s="111" t="str">
        <f t="shared" si="3"/>
        <v/>
      </c>
      <c r="J127" s="57"/>
      <c r="K127" s="58"/>
    </row>
    <row r="128" spans="1:11" ht="15" customHeight="1" x14ac:dyDescent="0.25">
      <c r="A128" s="74"/>
      <c r="B128" s="62"/>
      <c r="C128" s="63"/>
      <c r="D128" s="62"/>
      <c r="E128" s="62"/>
      <c r="F128" s="64"/>
      <c r="G128" s="62"/>
      <c r="H128" s="63"/>
      <c r="I128" s="112" t="str">
        <f t="shared" si="3"/>
        <v/>
      </c>
      <c r="J128" s="62"/>
      <c r="K128" s="63"/>
    </row>
    <row r="129" spans="1:11" ht="15" customHeight="1" x14ac:dyDescent="0.25">
      <c r="A129" s="72"/>
      <c r="B129" s="57"/>
      <c r="C129" s="58"/>
      <c r="D129" s="57"/>
      <c r="E129" s="57"/>
      <c r="F129" s="59"/>
      <c r="G129" s="57"/>
      <c r="H129" s="58"/>
      <c r="I129" s="111" t="str">
        <f t="shared" si="3"/>
        <v/>
      </c>
      <c r="J129" s="57"/>
      <c r="K129" s="58"/>
    </row>
    <row r="130" spans="1:11" ht="15" customHeight="1" x14ac:dyDescent="0.25">
      <c r="A130" s="74"/>
      <c r="B130" s="62"/>
      <c r="C130" s="63"/>
      <c r="D130" s="62"/>
      <c r="E130" s="62"/>
      <c r="F130" s="64"/>
      <c r="G130" s="62"/>
      <c r="H130" s="63"/>
      <c r="I130" s="112" t="str">
        <f t="shared" si="3"/>
        <v/>
      </c>
      <c r="J130" s="62"/>
      <c r="K130" s="63"/>
    </row>
    <row r="131" spans="1:11" ht="15" customHeight="1" x14ac:dyDescent="0.25">
      <c r="A131" s="72"/>
      <c r="B131" s="57"/>
      <c r="C131" s="58"/>
      <c r="D131" s="57"/>
      <c r="E131" s="57"/>
      <c r="F131" s="59"/>
      <c r="G131" s="57"/>
      <c r="H131" s="58"/>
      <c r="I131" s="111" t="str">
        <f t="shared" si="3"/>
        <v/>
      </c>
      <c r="J131" s="57"/>
      <c r="K131" s="58"/>
    </row>
    <row r="132" spans="1:11" ht="15" customHeight="1" x14ac:dyDescent="0.25">
      <c r="A132" s="74"/>
      <c r="B132" s="62"/>
      <c r="C132" s="63"/>
      <c r="D132" s="62"/>
      <c r="E132" s="62"/>
      <c r="F132" s="64"/>
      <c r="G132" s="62"/>
      <c r="H132" s="63"/>
      <c r="I132" s="112" t="str">
        <f t="shared" si="3"/>
        <v/>
      </c>
      <c r="J132" s="62"/>
      <c r="K132" s="63"/>
    </row>
    <row r="133" spans="1:11" ht="15" customHeight="1" x14ac:dyDescent="0.25">
      <c r="A133" s="72"/>
      <c r="B133" s="57"/>
      <c r="C133" s="58"/>
      <c r="D133" s="57"/>
      <c r="E133" s="57"/>
      <c r="F133" s="59"/>
      <c r="G133" s="57"/>
      <c r="H133" s="58"/>
      <c r="I133" s="111" t="str">
        <f t="shared" si="3"/>
        <v/>
      </c>
      <c r="J133" s="57"/>
      <c r="K133" s="58"/>
    </row>
    <row r="134" spans="1:11" ht="15" customHeight="1" x14ac:dyDescent="0.25">
      <c r="A134" s="74"/>
      <c r="B134" s="62"/>
      <c r="C134" s="63"/>
      <c r="D134" s="62"/>
      <c r="E134" s="62"/>
      <c r="F134" s="64"/>
      <c r="G134" s="62"/>
      <c r="H134" s="63"/>
      <c r="I134" s="112" t="str">
        <f t="shared" ref="I134:I154" si="4">IF(F134="","",IF(I133="",F134,I133+F134))</f>
        <v/>
      </c>
      <c r="J134" s="62"/>
      <c r="K134" s="63"/>
    </row>
    <row r="135" spans="1:11" ht="15" customHeight="1" x14ac:dyDescent="0.25">
      <c r="A135" s="72"/>
      <c r="B135" s="57"/>
      <c r="C135" s="58"/>
      <c r="D135" s="57"/>
      <c r="E135" s="57"/>
      <c r="F135" s="59"/>
      <c r="G135" s="57"/>
      <c r="H135" s="58"/>
      <c r="I135" s="111" t="str">
        <f t="shared" si="4"/>
        <v/>
      </c>
      <c r="J135" s="57"/>
      <c r="K135" s="58"/>
    </row>
    <row r="136" spans="1:11" ht="15" customHeight="1" x14ac:dyDescent="0.25">
      <c r="A136" s="74"/>
      <c r="B136" s="62"/>
      <c r="C136" s="63"/>
      <c r="D136" s="62"/>
      <c r="E136" s="62"/>
      <c r="F136" s="64"/>
      <c r="G136" s="62"/>
      <c r="H136" s="63"/>
      <c r="I136" s="112" t="str">
        <f t="shared" si="4"/>
        <v/>
      </c>
      <c r="J136" s="62"/>
      <c r="K136" s="63"/>
    </row>
    <row r="137" spans="1:11" ht="15" customHeight="1" x14ac:dyDescent="0.25">
      <c r="A137" s="72"/>
      <c r="B137" s="57"/>
      <c r="C137" s="58"/>
      <c r="D137" s="57"/>
      <c r="E137" s="57"/>
      <c r="F137" s="59"/>
      <c r="G137" s="57"/>
      <c r="H137" s="58"/>
      <c r="I137" s="111" t="str">
        <f t="shared" si="4"/>
        <v/>
      </c>
      <c r="J137" s="57"/>
      <c r="K137" s="58"/>
    </row>
    <row r="138" spans="1:11" ht="15" customHeight="1" x14ac:dyDescent="0.25">
      <c r="A138" s="74"/>
      <c r="B138" s="62"/>
      <c r="C138" s="63"/>
      <c r="D138" s="62"/>
      <c r="E138" s="62"/>
      <c r="F138" s="64"/>
      <c r="G138" s="62"/>
      <c r="H138" s="63"/>
      <c r="I138" s="112" t="str">
        <f t="shared" si="4"/>
        <v/>
      </c>
      <c r="J138" s="62"/>
      <c r="K138" s="63"/>
    </row>
    <row r="139" spans="1:11" ht="15" customHeight="1" x14ac:dyDescent="0.25">
      <c r="A139" s="72"/>
      <c r="B139" s="57"/>
      <c r="C139" s="58"/>
      <c r="D139" s="57"/>
      <c r="E139" s="57"/>
      <c r="F139" s="59"/>
      <c r="G139" s="57"/>
      <c r="H139" s="58"/>
      <c r="I139" s="111" t="str">
        <f t="shared" si="4"/>
        <v/>
      </c>
      <c r="J139" s="57"/>
      <c r="K139" s="58"/>
    </row>
    <row r="140" spans="1:11" ht="15" customHeight="1" x14ac:dyDescent="0.25">
      <c r="A140" s="74"/>
      <c r="B140" s="62"/>
      <c r="C140" s="63"/>
      <c r="D140" s="62"/>
      <c r="E140" s="62"/>
      <c r="F140" s="64"/>
      <c r="G140" s="62"/>
      <c r="H140" s="63"/>
      <c r="I140" s="112" t="str">
        <f t="shared" si="4"/>
        <v/>
      </c>
      <c r="J140" s="62"/>
      <c r="K140" s="63"/>
    </row>
    <row r="141" spans="1:11" ht="15" customHeight="1" x14ac:dyDescent="0.25">
      <c r="A141" s="72"/>
      <c r="B141" s="57"/>
      <c r="C141" s="58"/>
      <c r="D141" s="57"/>
      <c r="E141" s="57"/>
      <c r="F141" s="59"/>
      <c r="G141" s="57"/>
      <c r="H141" s="58"/>
      <c r="I141" s="111" t="str">
        <f t="shared" si="4"/>
        <v/>
      </c>
      <c r="J141" s="57"/>
      <c r="K141" s="58"/>
    </row>
    <row r="142" spans="1:11" ht="15" customHeight="1" x14ac:dyDescent="0.25">
      <c r="A142" s="74"/>
      <c r="B142" s="62"/>
      <c r="C142" s="63"/>
      <c r="D142" s="62"/>
      <c r="E142" s="62"/>
      <c r="F142" s="64"/>
      <c r="G142" s="62"/>
      <c r="H142" s="63"/>
      <c r="I142" s="112" t="str">
        <f t="shared" si="4"/>
        <v/>
      </c>
      <c r="J142" s="62"/>
      <c r="K142" s="63"/>
    </row>
    <row r="143" spans="1:11" ht="15" customHeight="1" x14ac:dyDescent="0.25">
      <c r="A143" s="72"/>
      <c r="B143" s="57"/>
      <c r="C143" s="58"/>
      <c r="D143" s="57"/>
      <c r="E143" s="57"/>
      <c r="F143" s="59"/>
      <c r="G143" s="57"/>
      <c r="H143" s="58"/>
      <c r="I143" s="111" t="str">
        <f t="shared" si="4"/>
        <v/>
      </c>
      <c r="J143" s="57"/>
      <c r="K143" s="58"/>
    </row>
    <row r="144" spans="1:11" ht="15" customHeight="1" x14ac:dyDescent="0.25">
      <c r="A144" s="74"/>
      <c r="B144" s="62"/>
      <c r="C144" s="63"/>
      <c r="D144" s="62"/>
      <c r="E144" s="62"/>
      <c r="F144" s="64"/>
      <c r="G144" s="62"/>
      <c r="H144" s="63"/>
      <c r="I144" s="112" t="str">
        <f t="shared" si="4"/>
        <v/>
      </c>
      <c r="J144" s="62"/>
      <c r="K144" s="63"/>
    </row>
    <row r="145" spans="1:11" ht="15" customHeight="1" x14ac:dyDescent="0.25">
      <c r="A145" s="72"/>
      <c r="B145" s="57"/>
      <c r="C145" s="58"/>
      <c r="D145" s="57"/>
      <c r="E145" s="57"/>
      <c r="F145" s="59"/>
      <c r="G145" s="57"/>
      <c r="H145" s="58"/>
      <c r="I145" s="111" t="str">
        <f t="shared" si="4"/>
        <v/>
      </c>
      <c r="J145" s="57"/>
      <c r="K145" s="58"/>
    </row>
    <row r="146" spans="1:11" ht="15" customHeight="1" x14ac:dyDescent="0.25">
      <c r="A146" s="74"/>
      <c r="B146" s="62"/>
      <c r="C146" s="63"/>
      <c r="D146" s="62"/>
      <c r="E146" s="62"/>
      <c r="F146" s="64"/>
      <c r="G146" s="62"/>
      <c r="H146" s="63"/>
      <c r="I146" s="112" t="str">
        <f t="shared" si="4"/>
        <v/>
      </c>
      <c r="J146" s="62"/>
      <c r="K146" s="63"/>
    </row>
    <row r="147" spans="1:11" ht="15" customHeight="1" x14ac:dyDescent="0.25">
      <c r="A147" s="72"/>
      <c r="B147" s="57"/>
      <c r="C147" s="58"/>
      <c r="D147" s="57"/>
      <c r="E147" s="57"/>
      <c r="F147" s="59"/>
      <c r="G147" s="57"/>
      <c r="H147" s="58"/>
      <c r="I147" s="111" t="str">
        <f t="shared" si="4"/>
        <v/>
      </c>
      <c r="J147" s="57"/>
      <c r="K147" s="58"/>
    </row>
    <row r="148" spans="1:11" ht="15" customHeight="1" x14ac:dyDescent="0.25">
      <c r="A148" s="74"/>
      <c r="B148" s="62"/>
      <c r="C148" s="63"/>
      <c r="D148" s="62"/>
      <c r="E148" s="62"/>
      <c r="F148" s="64"/>
      <c r="G148" s="62"/>
      <c r="H148" s="63"/>
      <c r="I148" s="112" t="str">
        <f t="shared" si="4"/>
        <v/>
      </c>
      <c r="J148" s="62"/>
      <c r="K148" s="63"/>
    </row>
    <row r="149" spans="1:11" ht="15" customHeight="1" x14ac:dyDescent="0.25">
      <c r="A149" s="72"/>
      <c r="B149" s="57"/>
      <c r="C149" s="58"/>
      <c r="D149" s="57"/>
      <c r="E149" s="57"/>
      <c r="F149" s="59"/>
      <c r="G149" s="57"/>
      <c r="H149" s="58"/>
      <c r="I149" s="111" t="str">
        <f t="shared" si="4"/>
        <v/>
      </c>
      <c r="J149" s="57"/>
      <c r="K149" s="58"/>
    </row>
    <row r="150" spans="1:11" ht="15" customHeight="1" x14ac:dyDescent="0.25">
      <c r="A150" s="74"/>
      <c r="B150" s="62"/>
      <c r="C150" s="63"/>
      <c r="D150" s="62"/>
      <c r="E150" s="62"/>
      <c r="F150" s="64"/>
      <c r="G150" s="62"/>
      <c r="H150" s="63"/>
      <c r="I150" s="112" t="str">
        <f t="shared" si="4"/>
        <v/>
      </c>
      <c r="J150" s="62"/>
      <c r="K150" s="63"/>
    </row>
    <row r="151" spans="1:11" ht="15" customHeight="1" x14ac:dyDescent="0.25">
      <c r="A151" s="72"/>
      <c r="B151" s="57"/>
      <c r="C151" s="58"/>
      <c r="D151" s="57"/>
      <c r="E151" s="57"/>
      <c r="F151" s="59"/>
      <c r="G151" s="57"/>
      <c r="H151" s="58"/>
      <c r="I151" s="111" t="str">
        <f t="shared" si="4"/>
        <v/>
      </c>
      <c r="J151" s="57"/>
      <c r="K151" s="58"/>
    </row>
    <row r="152" spans="1:11" ht="15" customHeight="1" x14ac:dyDescent="0.25">
      <c r="A152" s="74"/>
      <c r="B152" s="62"/>
      <c r="C152" s="63"/>
      <c r="D152" s="62"/>
      <c r="E152" s="62"/>
      <c r="F152" s="64"/>
      <c r="G152" s="62"/>
      <c r="H152" s="63"/>
      <c r="I152" s="112" t="str">
        <f t="shared" si="4"/>
        <v/>
      </c>
      <c r="J152" s="62"/>
      <c r="K152" s="63"/>
    </row>
    <row r="153" spans="1:11" ht="15" customHeight="1" x14ac:dyDescent="0.25">
      <c r="A153" s="72"/>
      <c r="B153" s="57"/>
      <c r="C153" s="58"/>
      <c r="D153" s="57"/>
      <c r="E153" s="57"/>
      <c r="F153" s="59"/>
      <c r="G153" s="57"/>
      <c r="H153" s="58"/>
      <c r="I153" s="111" t="str">
        <f t="shared" si="4"/>
        <v/>
      </c>
      <c r="J153" s="57"/>
      <c r="K153" s="58"/>
    </row>
    <row r="154" spans="1:11" ht="15" customHeight="1" x14ac:dyDescent="0.25">
      <c r="A154" s="74"/>
      <c r="B154" s="62"/>
      <c r="C154" s="63"/>
      <c r="D154" s="62"/>
      <c r="E154" s="62"/>
      <c r="F154" s="64"/>
      <c r="G154" s="62"/>
      <c r="H154" s="63"/>
      <c r="I154" s="112" t="str">
        <f t="shared" si="4"/>
        <v/>
      </c>
      <c r="J154" s="62"/>
      <c r="K154" s="63"/>
    </row>
    <row r="157" spans="1:11" ht="25.5" customHeight="1" x14ac:dyDescent="0.25">
      <c r="A157" s="148" t="s">
        <v>186</v>
      </c>
      <c r="B157" s="148"/>
      <c r="C157" s="148"/>
      <c r="D157" s="148"/>
      <c r="E157" s="148"/>
      <c r="F157" s="148"/>
      <c r="G157" s="148"/>
      <c r="H157" s="148"/>
      <c r="I157" s="148"/>
      <c r="J157" s="148"/>
      <c r="K157" s="148"/>
    </row>
    <row r="158" spans="1:11" ht="23.25" customHeight="1" x14ac:dyDescent="0.25">
      <c r="A158" s="19" t="s">
        <v>180</v>
      </c>
      <c r="B158" s="19" t="s">
        <v>187</v>
      </c>
      <c r="C158" s="19" t="s">
        <v>188</v>
      </c>
      <c r="D158" s="19" t="s">
        <v>189</v>
      </c>
      <c r="E158" s="19" t="s">
        <v>190</v>
      </c>
      <c r="F158" s="19" t="s">
        <v>191</v>
      </c>
      <c r="G158" s="19" t="s">
        <v>192</v>
      </c>
      <c r="H158" s="19" t="s">
        <v>193</v>
      </c>
      <c r="I158" s="19" t="s">
        <v>194</v>
      </c>
      <c r="J158" s="19" t="s">
        <v>195</v>
      </c>
      <c r="K158" s="19" t="s">
        <v>36</v>
      </c>
    </row>
    <row r="159" spans="1:11" ht="15" customHeight="1" x14ac:dyDescent="0.25">
      <c r="A159" s="76" t="s">
        <v>196</v>
      </c>
      <c r="B159" s="72">
        <v>46133</v>
      </c>
      <c r="C159" s="77">
        <f>COUNTIF(E5:E154,"Wk 1 (21 Apr)")</f>
        <v>1</v>
      </c>
      <c r="D159" s="78">
        <f>SUMPRODUCT((E5:E154="Wk 1 (21 Apr)")*(G5:G154="Cash")*(F5:F154))</f>
        <v>0</v>
      </c>
      <c r="E159" s="78">
        <f>SUMPRODUCT((E5:E154="Wk 1 (21 Apr)")*((G5:G154="MTN MoMo")+(G5:G154="Vodafone Cash")+(G5:G154="AirtelTigo Money"))*(F5:F154))</f>
        <v>0</v>
      </c>
      <c r="F159" s="78">
        <f>SUMPRODUCT((E5:E154="Wk 1 (21 Apr)")*(G5:G154="Bank Transfer")*(F5:F154))</f>
        <v>1000</v>
      </c>
      <c r="G159" s="78">
        <f>SUMPRODUCT((E5:E154="Wk 1 (21 Apr)")*(G5:G154="Cheque")*(F5:F154))</f>
        <v>0</v>
      </c>
      <c r="H159" s="79">
        <f t="shared" ref="H159:H172" si="5">SUM(D159:G159)</f>
        <v>1000</v>
      </c>
      <c r="I159" s="60">
        <f>H159</f>
        <v>1000</v>
      </c>
      <c r="J159" s="77"/>
      <c r="K159" s="80"/>
    </row>
    <row r="160" spans="1:11" ht="15" customHeight="1" x14ac:dyDescent="0.25">
      <c r="A160" s="81" t="s">
        <v>197</v>
      </c>
      <c r="B160" s="74">
        <v>46140</v>
      </c>
      <c r="C160" s="82">
        <f>COUNTIF(E5:E154,"Wk 2 (28 Apr)")</f>
        <v>1</v>
      </c>
      <c r="D160" s="83">
        <f>SUMPRODUCT((E5:E154="Wk 2 (28 Apr)")*(G5:G154="Cash")*(F5:F154))</f>
        <v>0</v>
      </c>
      <c r="E160" s="83">
        <f>SUMPRODUCT((E5:E154="Wk 2 (28 Apr)")*((G5:G154="MTN MoMo")+(G5:G154="Vodafone Cash")+(G5:G154="AirtelTigo Money"))*(F5:F154))</f>
        <v>500</v>
      </c>
      <c r="F160" s="83">
        <f>SUMPRODUCT((E5:E154="Wk 2 (28 Apr)")*(G5:G154="Bank Transfer")*(F5:F154))</f>
        <v>0</v>
      </c>
      <c r="G160" s="83">
        <f>SUMPRODUCT((E5:E154="Wk 2 (28 Apr)")*(G5:G154="Cheque")*(F5:F154))</f>
        <v>0</v>
      </c>
      <c r="H160" s="84">
        <f t="shared" si="5"/>
        <v>500</v>
      </c>
      <c r="I160" s="65">
        <f t="shared" ref="I160:I172" si="6">I159+H160</f>
        <v>1500</v>
      </c>
      <c r="J160" s="82"/>
      <c r="K160" s="85"/>
    </row>
    <row r="161" spans="1:11" ht="15" customHeight="1" x14ac:dyDescent="0.25">
      <c r="A161" s="76" t="s">
        <v>198</v>
      </c>
      <c r="B161" s="72">
        <v>46147</v>
      </c>
      <c r="C161" s="77">
        <f>COUNTIF(E5:E154,"Wk 3 (05 May)")</f>
        <v>0</v>
      </c>
      <c r="D161" s="78">
        <f>SUMPRODUCT((E5:E154="Wk 3 (05 May)")*(G5:G154="Cash")*(F5:F154))</f>
        <v>0</v>
      </c>
      <c r="E161" s="78">
        <f>SUMPRODUCT((E5:E154="Wk 3 (05 May)")*((G5:G154="MTN MoMo")+(G5:G154="Vodafone Cash")+(G5:G154="AirtelTigo Money"))*(F5:F154))</f>
        <v>0</v>
      </c>
      <c r="F161" s="78">
        <f>SUMPRODUCT((E5:E154="Wk 3 (05 May)")*(G5:G154="Bank Transfer")*(F5:F154))</f>
        <v>0</v>
      </c>
      <c r="G161" s="78">
        <f>SUMPRODUCT((E5:E154="Wk 3 (05 May)")*(G5:G154="Cheque")*(F5:F154))</f>
        <v>0</v>
      </c>
      <c r="H161" s="79">
        <f t="shared" si="5"/>
        <v>0</v>
      </c>
      <c r="I161" s="60">
        <f t="shared" si="6"/>
        <v>1500</v>
      </c>
      <c r="J161" s="77"/>
      <c r="K161" s="80"/>
    </row>
    <row r="162" spans="1:11" ht="15" customHeight="1" x14ac:dyDescent="0.25">
      <c r="A162" s="81" t="s">
        <v>199</v>
      </c>
      <c r="B162" s="74">
        <v>46154</v>
      </c>
      <c r="C162" s="82">
        <f>COUNTIF(E5:E154,"Wk 4 (12 May)")</f>
        <v>1</v>
      </c>
      <c r="D162" s="83">
        <f>SUMPRODUCT((E5:E154="Wk 4 (12 May)")*(G5:G154="Cash")*(F5:F154))</f>
        <v>3200</v>
      </c>
      <c r="E162" s="83">
        <f>SUMPRODUCT((E5:E154="Wk 4 (12 May)")*((G5:G154="MTN MoMo")+(G5:G154="Vodafone Cash")+(G5:G154="AirtelTigo Money"))*(F5:F154))</f>
        <v>0</v>
      </c>
      <c r="F162" s="83">
        <f>SUMPRODUCT((E5:E154="Wk 4 (12 May)")*(G5:G154="Bank Transfer")*(F5:F154))</f>
        <v>0</v>
      </c>
      <c r="G162" s="83">
        <f>SUMPRODUCT((E5:E154="Wk 4 (12 May)")*(G5:G154="Cheque")*(F5:F154))</f>
        <v>0</v>
      </c>
      <c r="H162" s="84">
        <f t="shared" si="5"/>
        <v>3200</v>
      </c>
      <c r="I162" s="65">
        <f t="shared" si="6"/>
        <v>4700</v>
      </c>
      <c r="J162" s="82"/>
      <c r="K162" s="85"/>
    </row>
    <row r="163" spans="1:11" ht="15" customHeight="1" x14ac:dyDescent="0.25">
      <c r="A163" s="76" t="s">
        <v>200</v>
      </c>
      <c r="B163" s="72">
        <v>46161</v>
      </c>
      <c r="C163" s="77">
        <f>COUNTIF(E5:E154,"Wk 5 (19 May)")</f>
        <v>0</v>
      </c>
      <c r="D163" s="78">
        <f>SUMPRODUCT((E5:E154="Wk 5 (19 May)")*(G5:G154="Cash")*(F5:F154))</f>
        <v>0</v>
      </c>
      <c r="E163" s="78">
        <f>SUMPRODUCT((E5:E154="Wk 5 (19 May)")*((G5:G154="MTN MoMo")+(G5:G154="Vodafone Cash")+(G5:G154="AirtelTigo Money"))*(F5:F154))</f>
        <v>0</v>
      </c>
      <c r="F163" s="78">
        <f>SUMPRODUCT((E5:E154="Wk 5 (19 May)")*(G5:G154="Bank Transfer")*(F5:F154))</f>
        <v>0</v>
      </c>
      <c r="G163" s="78">
        <f>SUMPRODUCT((E5:E154="Wk 5 (19 May)")*(G5:G154="Cheque")*(F5:F154))</f>
        <v>0</v>
      </c>
      <c r="H163" s="79">
        <f t="shared" si="5"/>
        <v>0</v>
      </c>
      <c r="I163" s="60">
        <f t="shared" si="6"/>
        <v>4700</v>
      </c>
      <c r="J163" s="77"/>
      <c r="K163" s="80"/>
    </row>
    <row r="164" spans="1:11" ht="15" customHeight="1" x14ac:dyDescent="0.25">
      <c r="A164" s="81" t="s">
        <v>201</v>
      </c>
      <c r="B164" s="74">
        <v>46168</v>
      </c>
      <c r="C164" s="82">
        <f>COUNTIF(E5:E154,"Wk 6 (26 May)")</f>
        <v>1</v>
      </c>
      <c r="D164" s="83">
        <f>SUMPRODUCT((E5:E154="Wk 6 (26 May)")*(G5:G154="Cash")*(F5:F154))</f>
        <v>0</v>
      </c>
      <c r="E164" s="83">
        <f>SUMPRODUCT((E5:E154="Wk 6 (26 May)")*((G5:G154="MTN MoMo")+(G5:G154="Vodafone Cash")+(G5:G154="AirtelTigo Money"))*(F5:F154))</f>
        <v>0</v>
      </c>
      <c r="F164" s="83">
        <f>SUMPRODUCT((E5:E154="Wk 6 (26 May)")*(G5:G154="Bank Transfer")*(F5:F154))</f>
        <v>2200</v>
      </c>
      <c r="G164" s="83">
        <f>SUMPRODUCT((E5:E154="Wk 6 (26 May)")*(G5:G154="Cheque")*(F5:F154))</f>
        <v>0</v>
      </c>
      <c r="H164" s="84">
        <f t="shared" si="5"/>
        <v>2200</v>
      </c>
      <c r="I164" s="65">
        <f t="shared" si="6"/>
        <v>6900</v>
      </c>
      <c r="J164" s="82"/>
      <c r="K164" s="85"/>
    </row>
    <row r="165" spans="1:11" ht="15" customHeight="1" x14ac:dyDescent="0.25">
      <c r="A165" s="76" t="s">
        <v>202</v>
      </c>
      <c r="B165" s="72">
        <v>46175</v>
      </c>
      <c r="C165" s="77">
        <f>COUNTIF(E5:E154,"Wk 7 (02 Jun)")</f>
        <v>1</v>
      </c>
      <c r="D165" s="78">
        <f>SUMPRODUCT((E5:E154="Wk 7 (02 Jun)")*(G5:G154="Cash")*(F5:F154))</f>
        <v>0</v>
      </c>
      <c r="E165" s="78">
        <f>SUMPRODUCT((E5:E154="Wk 7 (02 Jun)")*((G5:G154="MTN MoMo")+(G5:G154="Vodafone Cash")+(G5:G154="AirtelTigo Money"))*(F5:F154))</f>
        <v>250</v>
      </c>
      <c r="F165" s="78">
        <f>SUMPRODUCT((E5:E154="Wk 7 (02 Jun)")*(G5:G154="Bank Transfer")*(F5:F154))</f>
        <v>0</v>
      </c>
      <c r="G165" s="78">
        <f>SUMPRODUCT((E5:E154="Wk 7 (02 Jun)")*(G5:G154="Cheque")*(F5:F154))</f>
        <v>0</v>
      </c>
      <c r="H165" s="79">
        <f t="shared" si="5"/>
        <v>250</v>
      </c>
      <c r="I165" s="60">
        <f t="shared" si="6"/>
        <v>7150</v>
      </c>
      <c r="J165" s="77"/>
      <c r="K165" s="80"/>
    </row>
    <row r="166" spans="1:11" ht="15" customHeight="1" x14ac:dyDescent="0.25">
      <c r="A166" s="81" t="s">
        <v>203</v>
      </c>
      <c r="B166" s="74">
        <v>46182</v>
      </c>
      <c r="C166" s="82">
        <f>COUNTIF(E5:E154,"Wk 8 (09 Jun)")</f>
        <v>0</v>
      </c>
      <c r="D166" s="83">
        <f>SUMPRODUCT((E5:E154="Wk 8 (09 Jun)")*(G5:G154="Cash")*(F5:F154))</f>
        <v>0</v>
      </c>
      <c r="E166" s="83">
        <f>SUMPRODUCT((E5:E154="Wk 8 (09 Jun)")*((G5:G154="MTN MoMo")+(G5:G154="Vodafone Cash")+(G5:G154="AirtelTigo Money"))*(F5:F154))</f>
        <v>0</v>
      </c>
      <c r="F166" s="83">
        <f>SUMPRODUCT((E5:E154="Wk 8 (09 Jun)")*(G5:G154="Bank Transfer")*(F5:F154))</f>
        <v>0</v>
      </c>
      <c r="G166" s="83">
        <f>SUMPRODUCT((E5:E154="Wk 8 (09 Jun)")*(G5:G154="Cheque")*(F5:F154))</f>
        <v>0</v>
      </c>
      <c r="H166" s="84">
        <f t="shared" si="5"/>
        <v>0</v>
      </c>
      <c r="I166" s="65">
        <f t="shared" si="6"/>
        <v>7150</v>
      </c>
      <c r="J166" s="82"/>
      <c r="K166" s="85"/>
    </row>
    <row r="167" spans="1:11" ht="15" customHeight="1" x14ac:dyDescent="0.25">
      <c r="A167" s="76" t="s">
        <v>204</v>
      </c>
      <c r="B167" s="72">
        <v>46189</v>
      </c>
      <c r="C167" s="77">
        <f>COUNTIF(E5:E154,"Wk 9 (16 Jun)")</f>
        <v>0</v>
      </c>
      <c r="D167" s="78">
        <f>SUMPRODUCT((E5:E154="Wk 9 (16 Jun)")*(G5:G154="Cash")*(F5:F154))</f>
        <v>0</v>
      </c>
      <c r="E167" s="78">
        <f>SUMPRODUCT((E5:E154="Wk 9 (16 Jun)")*((G5:G154="MTN MoMo")+(G5:G154="Vodafone Cash")+(G5:G154="AirtelTigo Money"))*(F5:F154))</f>
        <v>0</v>
      </c>
      <c r="F167" s="78">
        <f>SUMPRODUCT((E5:E154="Wk 9 (16 Jun)")*(G5:G154="Bank Transfer")*(F5:F154))</f>
        <v>0</v>
      </c>
      <c r="G167" s="78">
        <f>SUMPRODUCT((E5:E154="Wk 9 (16 Jun)")*(G5:G154="Cheque")*(F5:F154))</f>
        <v>0</v>
      </c>
      <c r="H167" s="79">
        <f t="shared" si="5"/>
        <v>0</v>
      </c>
      <c r="I167" s="60">
        <f t="shared" si="6"/>
        <v>7150</v>
      </c>
      <c r="J167" s="77"/>
      <c r="K167" s="80"/>
    </row>
    <row r="168" spans="1:11" ht="21.75" customHeight="1" x14ac:dyDescent="0.25">
      <c r="A168" s="81" t="s">
        <v>205</v>
      </c>
      <c r="B168" s="74">
        <v>46196</v>
      </c>
      <c r="C168" s="82">
        <f>COUNTIF(E5:E154,"Wk 10 (23 Jun)")</f>
        <v>0</v>
      </c>
      <c r="D168" s="83">
        <f>SUMPRODUCT((E5:E154="Wk 10 (23 Jun)")*(G5:G154="Cash")*(F5:F154))</f>
        <v>0</v>
      </c>
      <c r="E168" s="83">
        <f>SUMPRODUCT((E5:E154="Wk 10 (23 Jun)")*((G5:G154="MTN MoMo")+(G5:G154="Vodafone Cash")+(G5:G154="AirtelTigo Money"))*(F5:F154))</f>
        <v>0</v>
      </c>
      <c r="F168" s="83">
        <f>SUMPRODUCT((E5:E154="Wk 10 (23 Jun)")*(G5:G154="Bank Transfer")*(F5:F154))</f>
        <v>0</v>
      </c>
      <c r="G168" s="83">
        <f>SUMPRODUCT((E5:E154="Wk 10 (23 Jun)")*(G5:G154="Cheque")*(F5:F154))</f>
        <v>0</v>
      </c>
      <c r="H168" s="84">
        <f t="shared" si="5"/>
        <v>0</v>
      </c>
      <c r="I168" s="65">
        <f t="shared" si="6"/>
        <v>7150</v>
      </c>
      <c r="J168" s="82"/>
      <c r="K168" s="85"/>
    </row>
    <row r="169" spans="1:11" ht="21.75" customHeight="1" x14ac:dyDescent="0.25">
      <c r="A169" s="76" t="s">
        <v>206</v>
      </c>
      <c r="B169" s="72">
        <v>46203</v>
      </c>
      <c r="C169" s="77">
        <f>COUNTIF(E5:E154,"Wk 11 (30 Jun)")</f>
        <v>0</v>
      </c>
      <c r="D169" s="78">
        <f>SUMPRODUCT((E5:E154="Wk 11 (30 Jun)")*(G5:G154="Cash")*(F5:F154))</f>
        <v>0</v>
      </c>
      <c r="E169" s="78">
        <f>SUMPRODUCT((E5:E154="Wk 11 (30 Jun)")*((G5:G154="MTN MoMo")+(G5:G154="Vodafone Cash")+(G5:G154="AirtelTigo Money"))*(F5:F154))</f>
        <v>0</v>
      </c>
      <c r="F169" s="78">
        <f>SUMPRODUCT((E5:E154="Wk 11 (30 Jun)")*(G5:G154="Bank Transfer")*(F5:F154))</f>
        <v>0</v>
      </c>
      <c r="G169" s="78">
        <f>SUMPRODUCT((E5:E154="Wk 11 (30 Jun)")*(G5:G154="Cheque")*(F5:F154))</f>
        <v>0</v>
      </c>
      <c r="H169" s="79">
        <f t="shared" si="5"/>
        <v>0</v>
      </c>
      <c r="I169" s="60">
        <f t="shared" si="6"/>
        <v>7150</v>
      </c>
      <c r="J169" s="77"/>
      <c r="K169" s="80"/>
    </row>
    <row r="170" spans="1:11" ht="18.75" customHeight="1" x14ac:dyDescent="0.25">
      <c r="A170" s="81" t="s">
        <v>207</v>
      </c>
      <c r="B170" s="74">
        <v>46210</v>
      </c>
      <c r="C170" s="82">
        <f>COUNTIF(E5:E154,"Wk 12 (07 Jul)")</f>
        <v>0</v>
      </c>
      <c r="D170" s="83">
        <f>SUMPRODUCT((E5:E154="Wk 12 (07 Jul)")*(G5:G154="Cash")*(F5:F154))</f>
        <v>0</v>
      </c>
      <c r="E170" s="83">
        <f>SUMPRODUCT((E5:E154="Wk 12 (07 Jul)")*((G5:G154="MTN MoMo")+(G5:G154="Vodafone Cash")+(G5:G154="AirtelTigo Money"))*(F5:F154))</f>
        <v>0</v>
      </c>
      <c r="F170" s="83">
        <f>SUMPRODUCT((E5:E154="Wk 12 (07 Jul)")*(G5:G154="Bank Transfer")*(F5:F154))</f>
        <v>0</v>
      </c>
      <c r="G170" s="83">
        <f>SUMPRODUCT((E5:E154="Wk 12 (07 Jul)")*(G5:G154="Cheque")*(F5:F154))</f>
        <v>0</v>
      </c>
      <c r="H170" s="84">
        <f t="shared" si="5"/>
        <v>0</v>
      </c>
      <c r="I170" s="65">
        <f t="shared" si="6"/>
        <v>7150</v>
      </c>
      <c r="J170" s="86" t="s">
        <v>208</v>
      </c>
      <c r="K170" s="85"/>
    </row>
    <row r="171" spans="1:11" ht="18.75" customHeight="1" x14ac:dyDescent="0.25">
      <c r="A171" s="76" t="s">
        <v>209</v>
      </c>
      <c r="B171" s="72">
        <v>46217</v>
      </c>
      <c r="C171" s="77">
        <f>COUNTIF(E5:E154,"Wk 13 (14 Jul)")</f>
        <v>0</v>
      </c>
      <c r="D171" s="78">
        <f>SUMPRODUCT((E5:E154="Wk 13 (14 Jul)")*(G5:G154="Cash")*(F5:F154))</f>
        <v>0</v>
      </c>
      <c r="E171" s="78">
        <f>SUMPRODUCT((E5:E154="Wk 13 (14 Jul)")*((G5:G154="MTN MoMo")+(G5:G154="Vodafone Cash")+(G5:G154="AirtelTigo Money"))*(F5:F154))</f>
        <v>0</v>
      </c>
      <c r="F171" s="78">
        <f>SUMPRODUCT((E5:E154="Wk 13 (14 Jul)")*(G5:G154="Bank Transfer")*(F5:F154))</f>
        <v>0</v>
      </c>
      <c r="G171" s="78">
        <f>SUMPRODUCT((E5:E154="Wk 13 (14 Jul)")*(G5:G154="Cheque")*(F5:F154))</f>
        <v>0</v>
      </c>
      <c r="H171" s="79">
        <f t="shared" si="5"/>
        <v>0</v>
      </c>
      <c r="I171" s="60">
        <f t="shared" si="6"/>
        <v>7150</v>
      </c>
      <c r="J171" s="87" t="s">
        <v>208</v>
      </c>
      <c r="K171" s="80"/>
    </row>
    <row r="172" spans="1:11" ht="18.75" customHeight="1" x14ac:dyDescent="0.25">
      <c r="A172" s="81" t="s">
        <v>210</v>
      </c>
      <c r="B172" s="74">
        <v>46224</v>
      </c>
      <c r="C172" s="82">
        <f>COUNTIF(E5:E154,"Wk 14 (21 Jul)")</f>
        <v>0</v>
      </c>
      <c r="D172" s="83">
        <f>SUMPRODUCT((E5:E154="Wk 14 (21 Jul)")*(G5:G154="Cash")*(F5:F154))</f>
        <v>0</v>
      </c>
      <c r="E172" s="83">
        <f>SUMPRODUCT((E5:E154="Wk 14 (21 Jul)")*((G5:G154="MTN MoMo")+(G5:G154="Vodafone Cash")+(G5:G154="AirtelTigo Money"))*(F5:F154))</f>
        <v>0</v>
      </c>
      <c r="F172" s="83">
        <f>SUMPRODUCT((E5:E154="Wk 14 (21 Jul)")*(G5:G154="Bank Transfer")*(F5:F154))</f>
        <v>0</v>
      </c>
      <c r="G172" s="83">
        <f>SUMPRODUCT((E5:E154="Wk 14 (21 Jul)")*(G5:G154="Cheque")*(F5:F154))</f>
        <v>0</v>
      </c>
      <c r="H172" s="84">
        <f t="shared" si="5"/>
        <v>0</v>
      </c>
      <c r="I172" s="65">
        <f t="shared" si="6"/>
        <v>7150</v>
      </c>
      <c r="J172" s="86" t="s">
        <v>208</v>
      </c>
      <c r="K172" s="85"/>
    </row>
    <row r="173" spans="1:11" ht="15" customHeight="1" x14ac:dyDescent="0.25">
      <c r="A173" s="28" t="s">
        <v>211</v>
      </c>
      <c r="B173" s="28"/>
      <c r="C173" s="88">
        <f t="shared" ref="C173:H173" si="7">SUM(C159:C172)</f>
        <v>5</v>
      </c>
      <c r="D173" s="29">
        <f t="shared" si="7"/>
        <v>3200</v>
      </c>
      <c r="E173" s="29">
        <f t="shared" si="7"/>
        <v>750</v>
      </c>
      <c r="F173" s="29">
        <f t="shared" si="7"/>
        <v>3200</v>
      </c>
      <c r="G173" s="29">
        <f t="shared" si="7"/>
        <v>0</v>
      </c>
      <c r="H173" s="29">
        <f t="shared" si="7"/>
        <v>7150</v>
      </c>
      <c r="I173" s="28"/>
      <c r="J173" s="28"/>
      <c r="K173" s="28"/>
    </row>
    <row r="176" spans="1:11" ht="15" customHeight="1" x14ac:dyDescent="0.25">
      <c r="A176" s="148" t="s">
        <v>212</v>
      </c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</row>
    <row r="177" spans="1:11" ht="23.25" customHeight="1" x14ac:dyDescent="0.25">
      <c r="A177" s="8" t="s">
        <v>213</v>
      </c>
      <c r="B177" s="8" t="s">
        <v>214</v>
      </c>
      <c r="C177" s="8" t="s">
        <v>189</v>
      </c>
      <c r="D177" s="8" t="s">
        <v>190</v>
      </c>
      <c r="E177" s="8" t="s">
        <v>191</v>
      </c>
      <c r="F177" s="8" t="s">
        <v>192</v>
      </c>
      <c r="G177" s="8" t="s">
        <v>215</v>
      </c>
      <c r="H177" s="8" t="s">
        <v>194</v>
      </c>
      <c r="I177" s="8" t="s">
        <v>216</v>
      </c>
      <c r="J177" s="8" t="s">
        <v>217</v>
      </c>
      <c r="K177" s="8" t="s">
        <v>36</v>
      </c>
    </row>
    <row r="178" spans="1:11" ht="15" customHeight="1" x14ac:dyDescent="0.25">
      <c r="A178" s="89" t="s">
        <v>218</v>
      </c>
      <c r="B178" s="90">
        <f>SUMPRODUCT((MONTH(A5:A154)=4)*(A5:A154&lt;&gt;""))</f>
        <v>2</v>
      </c>
      <c r="C178" s="78">
        <f>SUMPRODUCT((MONTH(A5:A154)=4)*(G5:G154="Cash")*(F5:F154))</f>
        <v>0</v>
      </c>
      <c r="D178" s="78">
        <f>SUMPRODUCT((MONTH(A5:A154)=4)*((G5:G154="MTN MoMo")+(G5:G154="Vodafone Cash")+(G5:G154="AirtelTigo Money"))*(F5:F154))</f>
        <v>500</v>
      </c>
      <c r="E178" s="78">
        <f>SUMPRODUCT((MONTH(A5:A154)=4)*(G5:G154="Bank Transfer")*(F5:F154))</f>
        <v>1000</v>
      </c>
      <c r="F178" s="78">
        <f>SUMPRODUCT((MONTH(A5:A154)=4)*(G5:G154="Cheque")*(F5:F154))</f>
        <v>0</v>
      </c>
      <c r="G178" s="79">
        <f>SUM(C178:F178)</f>
        <v>1500</v>
      </c>
      <c r="H178" s="60">
        <f>G178</f>
        <v>1500</v>
      </c>
      <c r="I178" s="91">
        <v>0.3</v>
      </c>
      <c r="J178" s="78"/>
      <c r="K178" s="92"/>
    </row>
    <row r="179" spans="1:11" ht="15" customHeight="1" x14ac:dyDescent="0.25">
      <c r="A179" s="93" t="s">
        <v>219</v>
      </c>
      <c r="B179" s="94">
        <f>SUMPRODUCT((MONTH(A5:A154)=5)*(A5:A154&lt;&gt;""))</f>
        <v>2</v>
      </c>
      <c r="C179" s="83">
        <f>SUMPRODUCT((MONTH(A5:A154)=5)*(G5:G154="Cash")*(F5:F154))</f>
        <v>3200</v>
      </c>
      <c r="D179" s="83">
        <f>SUMPRODUCT((MONTH(A5:A154)=5)*((G5:G154="MTN MoMo")+(G5:G154="Vodafone Cash")+(G5:G154="AirtelTigo Money"))*(F5:F154))</f>
        <v>0</v>
      </c>
      <c r="E179" s="83">
        <f>SUMPRODUCT((MONTH(A5:A154)=5)*(G5:G154="Bank Transfer")*(F5:F154))</f>
        <v>2200</v>
      </c>
      <c r="F179" s="83">
        <f>SUMPRODUCT((MONTH(A5:A154)=5)*(G5:G154="Cheque")*(F5:F154))</f>
        <v>0</v>
      </c>
      <c r="G179" s="84">
        <f>SUM(C179:F179)</f>
        <v>5400</v>
      </c>
      <c r="H179" s="65">
        <f>H178+G179</f>
        <v>6900</v>
      </c>
      <c r="I179" s="95">
        <v>0.65</v>
      </c>
      <c r="J179" s="83"/>
      <c r="K179" s="96"/>
    </row>
    <row r="180" spans="1:11" ht="15" customHeight="1" x14ac:dyDescent="0.25">
      <c r="A180" s="89" t="s">
        <v>220</v>
      </c>
      <c r="B180" s="90">
        <f>SUMPRODUCT((MONTH(A5:A154)=6)*(A5:A154&lt;&gt;""))</f>
        <v>1</v>
      </c>
      <c r="C180" s="78">
        <f>SUMPRODUCT((MONTH(A5:A154)=6)*(G5:G154="Cash")*(F5:F154))</f>
        <v>0</v>
      </c>
      <c r="D180" s="78">
        <f>SUMPRODUCT((MONTH(A5:A154)=6)*((G5:G154="MTN MoMo")+(G5:G154="Vodafone Cash")+(G5:G154="AirtelTigo Money"))*(F5:F154))</f>
        <v>250</v>
      </c>
      <c r="E180" s="78">
        <f>SUMPRODUCT((MONTH(A5:A154)=6)*(G5:G154="Bank Transfer")*(F5:F154))</f>
        <v>0</v>
      </c>
      <c r="F180" s="78">
        <f>SUMPRODUCT((MONTH(A5:A154)=6)*(G5:G154="Cheque")*(F5:F154))</f>
        <v>0</v>
      </c>
      <c r="G180" s="79">
        <f>SUM(C180:F180)</f>
        <v>250</v>
      </c>
      <c r="H180" s="60">
        <f>H179+G180</f>
        <v>7150</v>
      </c>
      <c r="I180" s="91">
        <v>1</v>
      </c>
      <c r="J180" s="78"/>
      <c r="K180" s="92"/>
    </row>
    <row r="181" spans="1:11" ht="15" customHeight="1" x14ac:dyDescent="0.25">
      <c r="A181" s="93" t="s">
        <v>221</v>
      </c>
      <c r="B181" s="94">
        <f>SUMPRODUCT((MONTH(A5:A154)=7)*(A5:A154&lt;&gt;""))</f>
        <v>0</v>
      </c>
      <c r="C181" s="83">
        <f>SUMPRODUCT((MONTH(A5:A154)=7)*(G5:G154="Cash")*(F5:F154))</f>
        <v>0</v>
      </c>
      <c r="D181" s="83">
        <f>SUMPRODUCT((MONTH(A5:A154)=7)*((G5:G154="MTN MoMo")+(G5:G154="Vodafone Cash")+(G5:G154="AirtelTigo Money"))*(F5:F154))</f>
        <v>0</v>
      </c>
      <c r="E181" s="83">
        <f>SUMPRODUCT((MONTH(A5:A154)=7)*(G5:G154="Bank Transfer")*(F5:F154))</f>
        <v>0</v>
      </c>
      <c r="F181" s="83">
        <f>SUMPRODUCT((MONTH(A5:A154)=7)*(G5:G154="Cheque")*(F5:F154))</f>
        <v>0</v>
      </c>
      <c r="G181" s="84">
        <f>SUM(C181:F181)</f>
        <v>0</v>
      </c>
      <c r="H181" s="65">
        <f>H180+G181</f>
        <v>7150</v>
      </c>
      <c r="I181" s="95">
        <v>1</v>
      </c>
      <c r="J181" s="83"/>
      <c r="K181" s="96"/>
    </row>
    <row r="182" spans="1:11" ht="15" customHeight="1" x14ac:dyDescent="0.25">
      <c r="A182" s="28" t="s">
        <v>222</v>
      </c>
      <c r="B182" s="88">
        <f t="shared" ref="B182:G182" si="8">SUM(B178:B181)</f>
        <v>5</v>
      </c>
      <c r="C182" s="29">
        <f t="shared" si="8"/>
        <v>3200</v>
      </c>
      <c r="D182" s="29">
        <f t="shared" si="8"/>
        <v>750</v>
      </c>
      <c r="E182" s="29">
        <f t="shared" si="8"/>
        <v>3200</v>
      </c>
      <c r="F182" s="29">
        <f t="shared" si="8"/>
        <v>0</v>
      </c>
      <c r="G182" s="29">
        <f t="shared" si="8"/>
        <v>7150</v>
      </c>
      <c r="H182" s="28"/>
      <c r="I182" s="28"/>
      <c r="J182" s="28"/>
      <c r="K182" s="28"/>
    </row>
  </sheetData>
  <mergeCells count="7">
    <mergeCell ref="A157:K157"/>
    <mergeCell ref="A176:K176"/>
    <mergeCell ref="A1:K1"/>
    <mergeCell ref="A2:K2"/>
    <mergeCell ref="A3:F3"/>
    <mergeCell ref="G3:I3"/>
    <mergeCell ref="J3:K3"/>
  </mergeCells>
  <dataValidations count="6">
    <dataValidation type="list" allowBlank="1" showInputMessage="1" promptTitle="Pupil Name" prompt="Select the pupil making the payment" sqref="C5:C154" xr:uid="{00000000-0002-0000-1300-000000000000}">
      <formula1>$P$1:$P$4</formula1>
      <formula2>0</formula2>
    </dataValidation>
    <dataValidation type="list" allowBlank="1" showInputMessage="1" promptTitle="Week" prompt="Select the week of payment" sqref="E5:E154" xr:uid="{00000000-0002-0000-1300-000001000000}">
      <formula1>"Wk 1 (21 Apr),Wk 2 (28 Apr),Wk 3 (05 May),Wk 4 (12 May),Wk 5 (19 May),Wk 6 (26 May),Wk 7 (02 Jun),Wk 8 (09 Jun),Wk 9 (16 Jun),Wk 10 (23 Jun),Wk 11 (30 Jun),Wk 12 (07 Jul),Wk 13 (14 Jul),Wk 14 (21 Jul)"</formula1>
      <formula2>0</formula2>
    </dataValidation>
    <dataValidation type="list" allowBlank="1" sqref="G5:G154" xr:uid="{00000000-0002-0000-1300-000002000000}">
      <formula1>"Cash,MTN MoMo,Vodafone Cash,AirtelTigo Money,Bank Transfer,Cheque"</formula1>
      <formula2>0</formula2>
    </dataValidation>
    <dataValidation type="list" allowBlank="1" sqref="D5:D154" xr:uid="{00000000-0002-0000-1300-000003000000}">
      <formula1>"Term 3,Term 2 Arrears,Term 1 Arrears"</formula1>
      <formula2>0</formula2>
    </dataValidation>
    <dataValidation type="list" allowBlank="1" sqref="J5:J154" xr:uid="{00000000-0002-0000-1300-000004000000}">
      <formula1>"Yes,No,Pending"</formula1>
      <formula2>0</formula2>
    </dataValidation>
    <dataValidation type="list" allowBlank="1" sqref="H5:H154" xr:uid="{00000000-0002-0000-1300-000005000000}">
      <formula1>"Dorcas Matilda Akosua Kusi,Hannah Ayorkor Laryea,Other"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5A6070"/>
  </sheetPr>
  <dimension ref="A1:Q19"/>
  <sheetViews>
    <sheetView zoomScaleNormal="100" workbookViewId="0">
      <pane xSplit="2" ySplit="4" topLeftCell="J5" activePane="bottomRight" state="frozen"/>
      <selection pane="topRight" activeCell="C1" sqref="C1"/>
      <selection pane="bottomLeft" activeCell="A5" sqref="A5"/>
      <selection pane="bottomRight" activeCell="Q28" sqref="Q28"/>
    </sheetView>
  </sheetViews>
  <sheetFormatPr defaultColWidth="8.7109375" defaultRowHeight="15" x14ac:dyDescent="0.25"/>
  <cols>
    <col min="1" max="1" width="5" customWidth="1"/>
    <col min="2" max="2" width="36" customWidth="1"/>
    <col min="3" max="3" width="14" customWidth="1"/>
    <col min="4" max="16" width="13" customWidth="1"/>
    <col min="17" max="17" width="45" customWidth="1"/>
  </cols>
  <sheetData>
    <row r="1" spans="1:17" ht="25.5" customHeight="1" x14ac:dyDescent="0.25">
      <c r="A1" s="150" t="s">
        <v>328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3" spans="1:17" ht="15" customHeight="1" x14ac:dyDescent="0.25">
      <c r="A3" s="120" t="s">
        <v>149</v>
      </c>
      <c r="B3" s="120"/>
      <c r="C3" s="120"/>
      <c r="D3" s="121" t="s">
        <v>150</v>
      </c>
      <c r="E3" s="121"/>
      <c r="F3" s="121"/>
      <c r="G3" s="121"/>
      <c r="H3" s="122" t="s">
        <v>151</v>
      </c>
      <c r="I3" s="122"/>
      <c r="J3" s="122"/>
      <c r="K3" s="122"/>
      <c r="L3" s="122"/>
      <c r="M3" s="123" t="s">
        <v>263</v>
      </c>
      <c r="N3" s="123"/>
      <c r="O3" s="123"/>
      <c r="P3" s="123"/>
      <c r="Q3" s="32" t="s">
        <v>153</v>
      </c>
    </row>
    <row r="4" spans="1:17" ht="27.75" customHeight="1" x14ac:dyDescent="0.25">
      <c r="A4" s="6" t="s">
        <v>87</v>
      </c>
      <c r="B4" s="6" t="s">
        <v>88</v>
      </c>
      <c r="C4" s="6" t="s">
        <v>33</v>
      </c>
      <c r="D4" s="5" t="s">
        <v>154</v>
      </c>
      <c r="E4" s="5" t="s">
        <v>155</v>
      </c>
      <c r="F4" s="5" t="s">
        <v>72</v>
      </c>
      <c r="G4" s="5" t="s">
        <v>73</v>
      </c>
      <c r="H4" s="4" t="s">
        <v>156</v>
      </c>
      <c r="I4" s="4" t="s">
        <v>157</v>
      </c>
      <c r="J4" s="4" t="s">
        <v>76</v>
      </c>
      <c r="K4" s="4" t="s">
        <v>77</v>
      </c>
      <c r="L4" s="4" t="s">
        <v>78</v>
      </c>
      <c r="M4" s="3" t="s">
        <v>80</v>
      </c>
      <c r="N4" s="3" t="s">
        <v>81</v>
      </c>
      <c r="O4" s="3" t="s">
        <v>158</v>
      </c>
      <c r="P4" s="3" t="s">
        <v>159</v>
      </c>
      <c r="Q4" s="32" t="s">
        <v>160</v>
      </c>
    </row>
    <row r="5" spans="1:17" ht="15" customHeight="1" x14ac:dyDescent="0.25">
      <c r="A5" s="57">
        <v>1</v>
      </c>
      <c r="B5" s="58" t="s">
        <v>329</v>
      </c>
      <c r="C5" s="57"/>
      <c r="D5" s="59">
        <v>3200</v>
      </c>
      <c r="E5" s="59"/>
      <c r="F5" s="59">
        <v>3200</v>
      </c>
      <c r="G5" s="59">
        <f>IF(B5="","",IF(D5="",0,D5)+IF(E5="",0,E5)-IF(F5="",0,F5))</f>
        <v>0</v>
      </c>
      <c r="H5" s="59">
        <v>3000</v>
      </c>
      <c r="I5" s="59"/>
      <c r="J5" s="59"/>
      <c r="K5" s="59">
        <v>3000</v>
      </c>
      <c r="L5" s="59">
        <f>IF(B5="","",IF(H5="",0,H5)+IF(I5="",0,I5)-IF(J5="",0,J5)-IF(K5="",0,K5))</f>
        <v>0</v>
      </c>
      <c r="M5" s="59">
        <v>3000</v>
      </c>
      <c r="N5" s="59"/>
      <c r="O5" s="59">
        <v>1500</v>
      </c>
      <c r="P5" s="60">
        <f>IF(B5="","",IF(M5="",0,M5)-IF(N5="",0,N5)+IF(L5&lt;0,0,IF(L5="",0,L5))-IF(O5="",0,O5))</f>
        <v>1500</v>
      </c>
      <c r="Q5" s="61"/>
    </row>
    <row r="6" spans="1:17" ht="15" customHeight="1" x14ac:dyDescent="0.25">
      <c r="A6" s="62">
        <v>2</v>
      </c>
      <c r="B6" s="63" t="s">
        <v>330</v>
      </c>
      <c r="C6" s="62"/>
      <c r="D6" s="64">
        <v>3200</v>
      </c>
      <c r="E6" s="64"/>
      <c r="F6" s="64">
        <v>2116.67</v>
      </c>
      <c r="G6" s="64">
        <f>IF(B6="","",IF(D6="",0,D6)+IF(E6="",0,E6)-IF(F6="",0,F6))</f>
        <v>1083.33</v>
      </c>
      <c r="H6" s="64">
        <v>3000</v>
      </c>
      <c r="I6" s="64"/>
      <c r="J6" s="64"/>
      <c r="K6" s="64">
        <v>3000</v>
      </c>
      <c r="L6" s="64">
        <f>IF(B6="","",IF(H6="",0,H6)+IF(I6="",0,I6)-IF(J6="",0,J6)-IF(K6="",0,K6))</f>
        <v>0</v>
      </c>
      <c r="M6" s="64">
        <v>3000</v>
      </c>
      <c r="N6" s="64"/>
      <c r="O6" s="64">
        <f>SUMIF('Grade 5 - Payments'!C5:C154,B6,'Grade 5 - Payments'!F5:F154)</f>
        <v>0</v>
      </c>
      <c r="P6" s="65">
        <f>IF(B6="","",IF(M6="",0,M6)-IF(N6="",0,N6)+IF(L6&lt;0,0,IF(L6="",0,L6))-IF(O6="",0,O6))</f>
        <v>3000</v>
      </c>
      <c r="Q6" s="66"/>
    </row>
    <row r="7" spans="1:17" ht="30.6" customHeight="1" x14ac:dyDescent="0.25">
      <c r="A7" s="57">
        <v>3</v>
      </c>
      <c r="B7" s="58" t="s">
        <v>331</v>
      </c>
      <c r="C7" s="57" t="s">
        <v>48</v>
      </c>
      <c r="D7" s="59">
        <v>1500</v>
      </c>
      <c r="E7" s="59"/>
      <c r="F7" s="59">
        <v>500</v>
      </c>
      <c r="G7" s="59">
        <f>IF(B7="","",IF(D7="",0,D7)+IF(E7="",0,E7)-IF(F7="",0,F7))</f>
        <v>1000</v>
      </c>
      <c r="H7" s="59">
        <v>3000</v>
      </c>
      <c r="I7" s="59">
        <v>1000</v>
      </c>
      <c r="J7" s="59">
        <v>3000</v>
      </c>
      <c r="K7" s="59">
        <v>1000</v>
      </c>
      <c r="L7" s="59">
        <f>IF(B7="","",IF(H7="",0,H7)+IF(I7="",0,I7)-IF(J7="",0,J7)-IF(K7="",0,K7))</f>
        <v>0</v>
      </c>
      <c r="M7" s="59">
        <v>3000</v>
      </c>
      <c r="N7" s="59">
        <v>3000</v>
      </c>
      <c r="O7" s="59">
        <f>SUMIF('Grade 5 - Payments'!C5:C154,B7,'Grade 5 - Payments'!F5:F154)</f>
        <v>0</v>
      </c>
      <c r="P7" s="60">
        <f>IF(B7="","",IF(M7="",0,M7)-IF(N7="",0,N7)+IF(L7&lt;0,0,IF(L7="",0,L7))-IF(O7="",0,O7))</f>
        <v>0</v>
      </c>
      <c r="Q7" s="61" t="s">
        <v>332</v>
      </c>
    </row>
    <row r="8" spans="1:17" ht="15" customHeight="1" x14ac:dyDescent="0.25">
      <c r="A8" s="62">
        <v>4</v>
      </c>
      <c r="B8" s="63"/>
      <c r="C8" s="62"/>
      <c r="D8" s="64"/>
      <c r="E8" s="64"/>
      <c r="F8" s="64"/>
      <c r="G8" s="64" t="str">
        <f t="shared" ref="G8:G17" si="0">IF(B8="","",0)</f>
        <v/>
      </c>
      <c r="H8" s="64"/>
      <c r="I8" s="64"/>
      <c r="J8" s="64"/>
      <c r="K8" s="64"/>
      <c r="L8" s="64" t="str">
        <f t="shared" ref="L8:L17" si="1">IF(B8="","",0)</f>
        <v/>
      </c>
      <c r="M8" s="64"/>
      <c r="N8" s="64"/>
      <c r="O8" s="64"/>
      <c r="P8" s="64" t="str">
        <f t="shared" ref="P8:P17" si="2">IF(B8="","",0)</f>
        <v/>
      </c>
      <c r="Q8" s="66"/>
    </row>
    <row r="9" spans="1:17" ht="15" customHeight="1" x14ac:dyDescent="0.25">
      <c r="A9" s="57">
        <v>5</v>
      </c>
      <c r="B9" s="58"/>
      <c r="C9" s="57"/>
      <c r="D9" s="59"/>
      <c r="E9" s="59"/>
      <c r="F9" s="59"/>
      <c r="G9" s="59" t="str">
        <f t="shared" si="0"/>
        <v/>
      </c>
      <c r="H9" s="59"/>
      <c r="I9" s="59"/>
      <c r="J9" s="59"/>
      <c r="K9" s="59"/>
      <c r="L9" s="59" t="str">
        <f t="shared" si="1"/>
        <v/>
      </c>
      <c r="M9" s="59"/>
      <c r="N9" s="59"/>
      <c r="O9" s="59"/>
      <c r="P9" s="59" t="str">
        <f t="shared" si="2"/>
        <v/>
      </c>
      <c r="Q9" s="61"/>
    </row>
    <row r="10" spans="1:17" ht="15" customHeight="1" x14ac:dyDescent="0.25">
      <c r="A10" s="62">
        <v>6</v>
      </c>
      <c r="B10" s="63"/>
      <c r="C10" s="62"/>
      <c r="D10" s="64"/>
      <c r="E10" s="64"/>
      <c r="F10" s="64"/>
      <c r="G10" s="64" t="str">
        <f t="shared" si="0"/>
        <v/>
      </c>
      <c r="H10" s="64"/>
      <c r="I10" s="64"/>
      <c r="J10" s="64"/>
      <c r="K10" s="64"/>
      <c r="L10" s="64" t="str">
        <f t="shared" si="1"/>
        <v/>
      </c>
      <c r="M10" s="64"/>
      <c r="N10" s="64"/>
      <c r="O10" s="64"/>
      <c r="P10" s="64" t="str">
        <f t="shared" si="2"/>
        <v/>
      </c>
      <c r="Q10" s="66"/>
    </row>
    <row r="11" spans="1:17" ht="15" customHeight="1" x14ac:dyDescent="0.25">
      <c r="A11" s="57">
        <v>7</v>
      </c>
      <c r="B11" s="58"/>
      <c r="C11" s="57"/>
      <c r="D11" s="59"/>
      <c r="E11" s="59"/>
      <c r="F11" s="59"/>
      <c r="G11" s="59" t="str">
        <f t="shared" si="0"/>
        <v/>
      </c>
      <c r="H11" s="59"/>
      <c r="I11" s="59"/>
      <c r="J11" s="59"/>
      <c r="K11" s="59"/>
      <c r="L11" s="59" t="str">
        <f t="shared" si="1"/>
        <v/>
      </c>
      <c r="M11" s="59"/>
      <c r="N11" s="59"/>
      <c r="O11" s="59"/>
      <c r="P11" s="59" t="str">
        <f t="shared" si="2"/>
        <v/>
      </c>
      <c r="Q11" s="61"/>
    </row>
    <row r="12" spans="1:17" ht="15" customHeight="1" x14ac:dyDescent="0.25">
      <c r="A12" s="62">
        <v>8</v>
      </c>
      <c r="B12" s="63"/>
      <c r="C12" s="62"/>
      <c r="D12" s="64"/>
      <c r="E12" s="64"/>
      <c r="F12" s="64"/>
      <c r="G12" s="64" t="str">
        <f t="shared" si="0"/>
        <v/>
      </c>
      <c r="H12" s="64"/>
      <c r="I12" s="64"/>
      <c r="J12" s="64"/>
      <c r="K12" s="64"/>
      <c r="L12" s="64" t="str">
        <f t="shared" si="1"/>
        <v/>
      </c>
      <c r="M12" s="64"/>
      <c r="N12" s="64"/>
      <c r="O12" s="64"/>
      <c r="P12" s="64" t="str">
        <f t="shared" si="2"/>
        <v/>
      </c>
      <c r="Q12" s="66"/>
    </row>
    <row r="13" spans="1:17" ht="15" customHeight="1" x14ac:dyDescent="0.25">
      <c r="A13" s="57">
        <v>9</v>
      </c>
      <c r="B13" s="58"/>
      <c r="C13" s="57"/>
      <c r="D13" s="59"/>
      <c r="E13" s="59"/>
      <c r="F13" s="59"/>
      <c r="G13" s="59" t="str">
        <f t="shared" si="0"/>
        <v/>
      </c>
      <c r="H13" s="59"/>
      <c r="I13" s="59"/>
      <c r="J13" s="59"/>
      <c r="K13" s="59"/>
      <c r="L13" s="59" t="str">
        <f t="shared" si="1"/>
        <v/>
      </c>
      <c r="M13" s="59"/>
      <c r="N13" s="59"/>
      <c r="O13" s="59"/>
      <c r="P13" s="59" t="str">
        <f t="shared" si="2"/>
        <v/>
      </c>
      <c r="Q13" s="61"/>
    </row>
    <row r="14" spans="1:17" ht="15" customHeight="1" x14ac:dyDescent="0.25">
      <c r="A14" s="62">
        <v>10</v>
      </c>
      <c r="B14" s="63"/>
      <c r="C14" s="62"/>
      <c r="D14" s="64"/>
      <c r="E14" s="64"/>
      <c r="F14" s="64"/>
      <c r="G14" s="64" t="str">
        <f t="shared" si="0"/>
        <v/>
      </c>
      <c r="H14" s="64"/>
      <c r="I14" s="64"/>
      <c r="J14" s="64"/>
      <c r="K14" s="64"/>
      <c r="L14" s="64" t="str">
        <f t="shared" si="1"/>
        <v/>
      </c>
      <c r="M14" s="64"/>
      <c r="N14" s="64"/>
      <c r="O14" s="64"/>
      <c r="P14" s="64" t="str">
        <f t="shared" si="2"/>
        <v/>
      </c>
      <c r="Q14" s="66"/>
    </row>
    <row r="15" spans="1:17" ht="15" customHeight="1" x14ac:dyDescent="0.25">
      <c r="A15" s="57">
        <v>11</v>
      </c>
      <c r="B15" s="58"/>
      <c r="C15" s="57"/>
      <c r="D15" s="59"/>
      <c r="E15" s="59"/>
      <c r="F15" s="59"/>
      <c r="G15" s="59" t="str">
        <f t="shared" si="0"/>
        <v/>
      </c>
      <c r="H15" s="59"/>
      <c r="I15" s="59"/>
      <c r="J15" s="59"/>
      <c r="K15" s="59"/>
      <c r="L15" s="59" t="str">
        <f t="shared" si="1"/>
        <v/>
      </c>
      <c r="M15" s="59"/>
      <c r="N15" s="59"/>
      <c r="O15" s="59"/>
      <c r="P15" s="59" t="str">
        <f t="shared" si="2"/>
        <v/>
      </c>
      <c r="Q15" s="61"/>
    </row>
    <row r="16" spans="1:17" ht="15" customHeight="1" x14ac:dyDescent="0.25">
      <c r="A16" s="62">
        <v>12</v>
      </c>
      <c r="B16" s="63"/>
      <c r="C16" s="62"/>
      <c r="D16" s="64"/>
      <c r="E16" s="64"/>
      <c r="F16" s="64"/>
      <c r="G16" s="64" t="str">
        <f t="shared" si="0"/>
        <v/>
      </c>
      <c r="H16" s="64"/>
      <c r="I16" s="64"/>
      <c r="J16" s="64"/>
      <c r="K16" s="64"/>
      <c r="L16" s="64" t="str">
        <f t="shared" si="1"/>
        <v/>
      </c>
      <c r="M16" s="64"/>
      <c r="N16" s="64"/>
      <c r="O16" s="64"/>
      <c r="P16" s="64" t="str">
        <f t="shared" si="2"/>
        <v/>
      </c>
      <c r="Q16" s="66"/>
    </row>
    <row r="17" spans="1:17" ht="15" customHeight="1" x14ac:dyDescent="0.25">
      <c r="A17" s="57">
        <v>13</v>
      </c>
      <c r="B17" s="58"/>
      <c r="C17" s="57"/>
      <c r="D17" s="59"/>
      <c r="E17" s="59"/>
      <c r="F17" s="59"/>
      <c r="G17" s="59" t="str">
        <f t="shared" si="0"/>
        <v/>
      </c>
      <c r="H17" s="59"/>
      <c r="I17" s="59"/>
      <c r="J17" s="59"/>
      <c r="K17" s="59"/>
      <c r="L17" s="59" t="str">
        <f t="shared" si="1"/>
        <v/>
      </c>
      <c r="M17" s="59"/>
      <c r="N17" s="59"/>
      <c r="O17" s="59"/>
      <c r="P17" s="59" t="str">
        <f t="shared" si="2"/>
        <v/>
      </c>
      <c r="Q17" s="61"/>
    </row>
    <row r="18" spans="1:17" ht="15" customHeight="1" x14ac:dyDescent="0.25">
      <c r="A18" s="28"/>
      <c r="B18" s="28" t="s">
        <v>84</v>
      </c>
      <c r="C18" s="28"/>
      <c r="D18" s="29">
        <f t="shared" ref="D18:P18" si="3">SUM(D5:D17)</f>
        <v>7900</v>
      </c>
      <c r="E18" s="29">
        <f t="shared" si="3"/>
        <v>0</v>
      </c>
      <c r="F18" s="29">
        <f t="shared" si="3"/>
        <v>5816.67</v>
      </c>
      <c r="G18" s="29">
        <f t="shared" si="3"/>
        <v>2083.33</v>
      </c>
      <c r="H18" s="29">
        <f t="shared" si="3"/>
        <v>9000</v>
      </c>
      <c r="I18" s="29">
        <f t="shared" si="3"/>
        <v>1000</v>
      </c>
      <c r="J18" s="29">
        <f t="shared" si="3"/>
        <v>3000</v>
      </c>
      <c r="K18" s="29">
        <f t="shared" si="3"/>
        <v>7000</v>
      </c>
      <c r="L18" s="29">
        <f t="shared" si="3"/>
        <v>0</v>
      </c>
      <c r="M18" s="29">
        <f t="shared" si="3"/>
        <v>9000</v>
      </c>
      <c r="N18" s="29">
        <f t="shared" si="3"/>
        <v>3000</v>
      </c>
      <c r="O18" s="29">
        <f t="shared" si="3"/>
        <v>1500</v>
      </c>
      <c r="P18" s="29">
        <f t="shared" si="3"/>
        <v>4500</v>
      </c>
      <c r="Q18" s="66"/>
    </row>
    <row r="19" spans="1:17" ht="15" customHeight="1" x14ac:dyDescent="0.25">
      <c r="B19" s="67" t="s">
        <v>169</v>
      </c>
      <c r="F19" s="68" t="s">
        <v>170</v>
      </c>
      <c r="G19" s="69">
        <f>IF(D18+E18=0,1,F18/(D18+E18))</f>
        <v>0.73628734177215194</v>
      </c>
      <c r="K19" s="68" t="s">
        <v>171</v>
      </c>
      <c r="L19" s="70">
        <f>IF(H18+I18-J18=0,1,K18/(H18+I18-J18))</f>
        <v>1</v>
      </c>
      <c r="O19" s="71">
        <f>SUMIF('Grade 5 - Payments'!C5:C154,B19,'Grade 5 - Payments'!F5:F154)</f>
        <v>0</v>
      </c>
      <c r="Q19" s="61"/>
    </row>
  </sheetData>
  <mergeCells count="5">
    <mergeCell ref="A1:O1"/>
    <mergeCell ref="A3:C3"/>
    <mergeCell ref="D3:G3"/>
    <mergeCell ref="H3:L3"/>
    <mergeCell ref="M3:P3"/>
  </mergeCells>
  <dataValidations count="1">
    <dataValidation type="list" allowBlank="1" showInputMessage="1" showErrorMessage="1" errorTitle="Invalid Entry" error="Select from: None, Founding Family, Sibling, Sibling 2nd, Sibling 3rd, Staff Child, or Waiver." promptTitle="Discount Type" prompt="Select discount type or &quot;None&quot; for full-fee pupils." sqref="C5:C17" xr:uid="{00000000-0002-0000-1400-000000000000}">
      <formula1>"None,Founding Family,Sibling,Sibling 2nd,Sibling 3rd,Staff Child,Waiver"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5A6070"/>
  </sheetPr>
  <dimension ref="A1:P18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6" sqref="H6"/>
    </sheetView>
  </sheetViews>
  <sheetFormatPr defaultColWidth="8.7109375" defaultRowHeight="15" x14ac:dyDescent="0.25"/>
  <cols>
    <col min="1" max="1" width="12" customWidth="1"/>
    <col min="2" max="2" width="13" customWidth="1"/>
    <col min="3" max="3" width="30" customWidth="1"/>
    <col min="4" max="4" width="8" customWidth="1"/>
    <col min="5" max="5" width="18" customWidth="1"/>
    <col min="6" max="6" width="14" customWidth="1"/>
    <col min="7" max="7" width="20" customWidth="1"/>
    <col min="8" max="8" width="31.42578125" customWidth="1"/>
    <col min="9" max="9" width="14" customWidth="1"/>
    <col min="10" max="10" width="10" customWidth="1"/>
    <col min="11" max="11" width="28" customWidth="1"/>
    <col min="16" max="16" width="13" hidden="1" customWidth="1"/>
  </cols>
  <sheetData>
    <row r="1" spans="1:16" ht="25.5" customHeight="1" x14ac:dyDescent="0.25">
      <c r="A1" s="150" t="s">
        <v>333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P1" t="s">
        <v>334</v>
      </c>
    </row>
    <row r="2" spans="1:16" ht="15" customHeight="1" x14ac:dyDescent="0.25">
      <c r="A2" s="131" t="s">
        <v>173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P2" t="s">
        <v>335</v>
      </c>
    </row>
    <row r="3" spans="1:16" ht="15" customHeight="1" x14ac:dyDescent="0.25">
      <c r="A3" s="132" t="s">
        <v>174</v>
      </c>
      <c r="B3" s="132"/>
      <c r="C3" s="132"/>
      <c r="D3" s="132"/>
      <c r="E3" s="132"/>
      <c r="F3" s="132"/>
      <c r="G3" s="151" t="s">
        <v>175</v>
      </c>
      <c r="H3" s="151"/>
      <c r="I3" s="151"/>
      <c r="J3" s="134" t="s">
        <v>176</v>
      </c>
      <c r="K3" s="134"/>
      <c r="P3" t="s">
        <v>331</v>
      </c>
    </row>
    <row r="4" spans="1:16" ht="25.5" customHeight="1" x14ac:dyDescent="0.25">
      <c r="A4" s="2" t="s">
        <v>177</v>
      </c>
      <c r="B4" s="2" t="s">
        <v>178</v>
      </c>
      <c r="C4" s="2" t="s">
        <v>88</v>
      </c>
      <c r="D4" s="2" t="s">
        <v>179</v>
      </c>
      <c r="E4" s="2" t="s">
        <v>180</v>
      </c>
      <c r="F4" s="2" t="s">
        <v>181</v>
      </c>
      <c r="G4" s="20" t="s">
        <v>182</v>
      </c>
      <c r="H4" s="20" t="s">
        <v>183</v>
      </c>
      <c r="I4" s="20" t="s">
        <v>184</v>
      </c>
      <c r="J4" s="8" t="s">
        <v>185</v>
      </c>
      <c r="K4" s="8" t="s">
        <v>36</v>
      </c>
    </row>
    <row r="5" spans="1:16" ht="15" customHeight="1" x14ac:dyDescent="0.25">
      <c r="A5" s="72">
        <v>46132</v>
      </c>
      <c r="B5" s="57">
        <v>1041</v>
      </c>
      <c r="C5" s="58" t="s">
        <v>334</v>
      </c>
      <c r="D5" s="57" t="s">
        <v>342</v>
      </c>
      <c r="E5" s="57" t="s">
        <v>196</v>
      </c>
      <c r="F5" s="59">
        <v>1500</v>
      </c>
      <c r="G5" s="57" t="s">
        <v>191</v>
      </c>
      <c r="H5" s="58" t="s">
        <v>337</v>
      </c>
      <c r="I5" s="113">
        <f>IF(F5="","",F5)</f>
        <v>1500</v>
      </c>
      <c r="J5" s="57"/>
      <c r="K5" s="58"/>
    </row>
    <row r="6" spans="1:16" ht="15" customHeight="1" x14ac:dyDescent="0.25">
      <c r="A6" s="74">
        <v>46163</v>
      </c>
      <c r="B6" s="62">
        <v>1081</v>
      </c>
      <c r="C6" s="63" t="s">
        <v>334</v>
      </c>
      <c r="D6" s="62" t="s">
        <v>342</v>
      </c>
      <c r="E6" s="62" t="s">
        <v>200</v>
      </c>
      <c r="F6" s="64">
        <v>1700</v>
      </c>
      <c r="G6" s="62" t="s">
        <v>191</v>
      </c>
      <c r="H6" s="63" t="s">
        <v>337</v>
      </c>
      <c r="I6" s="114">
        <f t="shared" ref="I6:I37" si="0">IF(F6="","",IF(I5="",F6,I5+F6))</f>
        <v>3200</v>
      </c>
      <c r="J6" s="62"/>
      <c r="K6" s="63"/>
    </row>
    <row r="7" spans="1:16" ht="15" customHeight="1" x14ac:dyDescent="0.25">
      <c r="A7" s="72"/>
      <c r="B7" s="57"/>
      <c r="C7" s="58"/>
      <c r="D7" s="57"/>
      <c r="E7" s="57"/>
      <c r="F7" s="59"/>
      <c r="G7" s="57"/>
      <c r="H7" s="58"/>
      <c r="I7" s="113" t="str">
        <f t="shared" si="0"/>
        <v/>
      </c>
      <c r="J7" s="57"/>
      <c r="K7" s="58"/>
    </row>
    <row r="8" spans="1:16" ht="15" customHeight="1" x14ac:dyDescent="0.25">
      <c r="A8" s="74"/>
      <c r="B8" s="62"/>
      <c r="C8" s="63"/>
      <c r="D8" s="62"/>
      <c r="E8" s="62"/>
      <c r="F8" s="64"/>
      <c r="G8" s="62"/>
      <c r="H8" s="63"/>
      <c r="I8" s="114" t="str">
        <f t="shared" si="0"/>
        <v/>
      </c>
      <c r="J8" s="62"/>
      <c r="K8" s="63"/>
    </row>
    <row r="9" spans="1:16" ht="15" customHeight="1" x14ac:dyDescent="0.25">
      <c r="A9" s="72"/>
      <c r="B9" s="57"/>
      <c r="C9" s="58"/>
      <c r="D9" s="57"/>
      <c r="E9" s="57"/>
      <c r="F9" s="59"/>
      <c r="G9" s="57"/>
      <c r="H9" s="58"/>
      <c r="I9" s="113" t="str">
        <f t="shared" si="0"/>
        <v/>
      </c>
      <c r="J9" s="57"/>
      <c r="K9" s="58"/>
    </row>
    <row r="10" spans="1:16" ht="15" customHeight="1" x14ac:dyDescent="0.25">
      <c r="A10" s="74"/>
      <c r="B10" s="62"/>
      <c r="C10" s="63"/>
      <c r="D10" s="62"/>
      <c r="E10" s="62"/>
      <c r="F10" s="64"/>
      <c r="G10" s="62"/>
      <c r="H10" s="63"/>
      <c r="I10" s="114" t="str">
        <f t="shared" si="0"/>
        <v/>
      </c>
      <c r="J10" s="62"/>
      <c r="K10" s="63"/>
    </row>
    <row r="11" spans="1:16" ht="15" customHeight="1" x14ac:dyDescent="0.25">
      <c r="A11" s="72"/>
      <c r="B11" s="57"/>
      <c r="C11" s="58"/>
      <c r="D11" s="57"/>
      <c r="E11" s="57"/>
      <c r="F11" s="59"/>
      <c r="G11" s="57"/>
      <c r="H11" s="58"/>
      <c r="I11" s="113" t="str">
        <f t="shared" si="0"/>
        <v/>
      </c>
      <c r="J11" s="57"/>
      <c r="K11" s="58"/>
    </row>
    <row r="12" spans="1:16" ht="15" customHeight="1" x14ac:dyDescent="0.25">
      <c r="A12" s="74"/>
      <c r="B12" s="62"/>
      <c r="C12" s="63"/>
      <c r="D12" s="62"/>
      <c r="E12" s="62"/>
      <c r="F12" s="64"/>
      <c r="G12" s="62"/>
      <c r="H12" s="63"/>
      <c r="I12" s="114" t="str">
        <f t="shared" si="0"/>
        <v/>
      </c>
      <c r="J12" s="62"/>
      <c r="K12" s="63"/>
    </row>
    <row r="13" spans="1:16" ht="15" customHeight="1" x14ac:dyDescent="0.25">
      <c r="A13" s="72"/>
      <c r="B13" s="57"/>
      <c r="C13" s="58"/>
      <c r="D13" s="57"/>
      <c r="E13" s="57"/>
      <c r="F13" s="59"/>
      <c r="G13" s="57"/>
      <c r="H13" s="58"/>
      <c r="I13" s="113" t="str">
        <f t="shared" si="0"/>
        <v/>
      </c>
      <c r="J13" s="57"/>
      <c r="K13" s="58"/>
    </row>
    <row r="14" spans="1:16" ht="15" customHeight="1" x14ac:dyDescent="0.25">
      <c r="A14" s="74"/>
      <c r="B14" s="62"/>
      <c r="C14" s="63"/>
      <c r="D14" s="62"/>
      <c r="E14" s="62"/>
      <c r="F14" s="64"/>
      <c r="G14" s="62"/>
      <c r="H14" s="63"/>
      <c r="I14" s="114" t="str">
        <f t="shared" si="0"/>
        <v/>
      </c>
      <c r="J14" s="62"/>
      <c r="K14" s="63"/>
    </row>
    <row r="15" spans="1:16" ht="15" customHeight="1" x14ac:dyDescent="0.25">
      <c r="A15" s="72"/>
      <c r="B15" s="57"/>
      <c r="C15" s="58"/>
      <c r="D15" s="57"/>
      <c r="E15" s="57"/>
      <c r="F15" s="59"/>
      <c r="G15" s="57"/>
      <c r="H15" s="58"/>
      <c r="I15" s="113" t="str">
        <f t="shared" si="0"/>
        <v/>
      </c>
      <c r="J15" s="57"/>
      <c r="K15" s="58"/>
    </row>
    <row r="16" spans="1:16" ht="15" customHeight="1" x14ac:dyDescent="0.25">
      <c r="A16" s="74"/>
      <c r="B16" s="62"/>
      <c r="C16" s="63"/>
      <c r="D16" s="62"/>
      <c r="E16" s="62"/>
      <c r="F16" s="64"/>
      <c r="G16" s="62"/>
      <c r="H16" s="63"/>
      <c r="I16" s="114" t="str">
        <f t="shared" si="0"/>
        <v/>
      </c>
      <c r="J16" s="62"/>
      <c r="K16" s="63"/>
    </row>
    <row r="17" spans="1:11" ht="15" customHeight="1" x14ac:dyDescent="0.25">
      <c r="A17" s="72"/>
      <c r="B17" s="57"/>
      <c r="C17" s="58"/>
      <c r="D17" s="57"/>
      <c r="E17" s="57"/>
      <c r="F17" s="59"/>
      <c r="G17" s="57"/>
      <c r="H17" s="58"/>
      <c r="I17" s="113" t="str">
        <f t="shared" si="0"/>
        <v/>
      </c>
      <c r="J17" s="57"/>
      <c r="K17" s="58"/>
    </row>
    <row r="18" spans="1:11" ht="15" customHeight="1" x14ac:dyDescent="0.25">
      <c r="A18" s="74"/>
      <c r="B18" s="62"/>
      <c r="C18" s="63"/>
      <c r="D18" s="62"/>
      <c r="E18" s="62"/>
      <c r="F18" s="64"/>
      <c r="G18" s="62"/>
      <c r="H18" s="63"/>
      <c r="I18" s="114" t="str">
        <f t="shared" si="0"/>
        <v/>
      </c>
      <c r="J18" s="62"/>
      <c r="K18" s="63"/>
    </row>
    <row r="19" spans="1:11" ht="15" customHeight="1" x14ac:dyDescent="0.25">
      <c r="A19" s="72"/>
      <c r="B19" s="57"/>
      <c r="C19" s="58"/>
      <c r="D19" s="57"/>
      <c r="E19" s="57"/>
      <c r="F19" s="59"/>
      <c r="G19" s="57"/>
      <c r="H19" s="58"/>
      <c r="I19" s="113" t="str">
        <f t="shared" si="0"/>
        <v/>
      </c>
      <c r="J19" s="57"/>
      <c r="K19" s="58"/>
    </row>
    <row r="20" spans="1:11" ht="15" customHeight="1" x14ac:dyDescent="0.25">
      <c r="A20" s="74"/>
      <c r="B20" s="62"/>
      <c r="C20" s="63"/>
      <c r="D20" s="62"/>
      <c r="E20" s="62"/>
      <c r="F20" s="64"/>
      <c r="G20" s="62"/>
      <c r="H20" s="63"/>
      <c r="I20" s="114" t="str">
        <f t="shared" si="0"/>
        <v/>
      </c>
      <c r="J20" s="62"/>
      <c r="K20" s="63"/>
    </row>
    <row r="21" spans="1:11" ht="15" customHeight="1" x14ac:dyDescent="0.25">
      <c r="A21" s="72"/>
      <c r="B21" s="57"/>
      <c r="C21" s="58"/>
      <c r="D21" s="57"/>
      <c r="E21" s="57"/>
      <c r="F21" s="59"/>
      <c r="G21" s="57"/>
      <c r="H21" s="58"/>
      <c r="I21" s="113" t="str">
        <f t="shared" si="0"/>
        <v/>
      </c>
      <c r="J21" s="57"/>
      <c r="K21" s="58"/>
    </row>
    <row r="22" spans="1:11" ht="15" customHeight="1" x14ac:dyDescent="0.25">
      <c r="A22" s="74"/>
      <c r="B22" s="62"/>
      <c r="C22" s="63"/>
      <c r="D22" s="62"/>
      <c r="E22" s="62"/>
      <c r="F22" s="64"/>
      <c r="G22" s="62"/>
      <c r="H22" s="63"/>
      <c r="I22" s="114" t="str">
        <f t="shared" si="0"/>
        <v/>
      </c>
      <c r="J22" s="62"/>
      <c r="K22" s="63"/>
    </row>
    <row r="23" spans="1:11" ht="15" customHeight="1" x14ac:dyDescent="0.25">
      <c r="A23" s="72"/>
      <c r="B23" s="57"/>
      <c r="C23" s="58"/>
      <c r="D23" s="57"/>
      <c r="E23" s="57"/>
      <c r="F23" s="59"/>
      <c r="G23" s="57"/>
      <c r="H23" s="58"/>
      <c r="I23" s="113" t="str">
        <f t="shared" si="0"/>
        <v/>
      </c>
      <c r="J23" s="57"/>
      <c r="K23" s="58"/>
    </row>
    <row r="24" spans="1:11" ht="15" customHeight="1" x14ac:dyDescent="0.25">
      <c r="A24" s="74"/>
      <c r="B24" s="62"/>
      <c r="C24" s="63"/>
      <c r="D24" s="62"/>
      <c r="E24" s="62"/>
      <c r="F24" s="64"/>
      <c r="G24" s="62"/>
      <c r="H24" s="63"/>
      <c r="I24" s="114" t="str">
        <f t="shared" si="0"/>
        <v/>
      </c>
      <c r="J24" s="62"/>
      <c r="K24" s="63"/>
    </row>
    <row r="25" spans="1:11" ht="15" customHeight="1" x14ac:dyDescent="0.25">
      <c r="A25" s="72"/>
      <c r="B25" s="57"/>
      <c r="C25" s="58"/>
      <c r="D25" s="57"/>
      <c r="E25" s="57"/>
      <c r="F25" s="59"/>
      <c r="G25" s="57"/>
      <c r="H25" s="58"/>
      <c r="I25" s="113" t="str">
        <f t="shared" si="0"/>
        <v/>
      </c>
      <c r="J25" s="57"/>
      <c r="K25" s="58"/>
    </row>
    <row r="26" spans="1:11" ht="15" customHeight="1" x14ac:dyDescent="0.25">
      <c r="A26" s="74"/>
      <c r="B26" s="62"/>
      <c r="C26" s="63"/>
      <c r="D26" s="62"/>
      <c r="E26" s="62"/>
      <c r="F26" s="64"/>
      <c r="G26" s="62"/>
      <c r="H26" s="63"/>
      <c r="I26" s="114" t="str">
        <f t="shared" si="0"/>
        <v/>
      </c>
      <c r="J26" s="62"/>
      <c r="K26" s="63"/>
    </row>
    <row r="27" spans="1:11" ht="15" customHeight="1" x14ac:dyDescent="0.25">
      <c r="A27" s="72"/>
      <c r="B27" s="57"/>
      <c r="C27" s="58"/>
      <c r="D27" s="57"/>
      <c r="E27" s="57"/>
      <c r="F27" s="59"/>
      <c r="G27" s="57"/>
      <c r="H27" s="58"/>
      <c r="I27" s="113" t="str">
        <f t="shared" si="0"/>
        <v/>
      </c>
      <c r="J27" s="57"/>
      <c r="K27" s="58"/>
    </row>
    <row r="28" spans="1:11" ht="15" customHeight="1" x14ac:dyDescent="0.25">
      <c r="A28" s="74"/>
      <c r="B28" s="62"/>
      <c r="C28" s="63"/>
      <c r="D28" s="62"/>
      <c r="E28" s="62"/>
      <c r="F28" s="64"/>
      <c r="G28" s="62"/>
      <c r="H28" s="63"/>
      <c r="I28" s="114" t="str">
        <f t="shared" si="0"/>
        <v/>
      </c>
      <c r="J28" s="62"/>
      <c r="K28" s="63"/>
    </row>
    <row r="29" spans="1:11" ht="15" customHeight="1" x14ac:dyDescent="0.25">
      <c r="A29" s="72"/>
      <c r="B29" s="57"/>
      <c r="C29" s="58"/>
      <c r="D29" s="57"/>
      <c r="E29" s="57"/>
      <c r="F29" s="59"/>
      <c r="G29" s="57"/>
      <c r="H29" s="58"/>
      <c r="I29" s="113" t="str">
        <f t="shared" si="0"/>
        <v/>
      </c>
      <c r="J29" s="57"/>
      <c r="K29" s="58"/>
    </row>
    <row r="30" spans="1:11" ht="15" customHeight="1" x14ac:dyDescent="0.25">
      <c r="A30" s="74"/>
      <c r="B30" s="62"/>
      <c r="C30" s="63"/>
      <c r="D30" s="62"/>
      <c r="E30" s="62"/>
      <c r="F30" s="64"/>
      <c r="G30" s="62"/>
      <c r="H30" s="63"/>
      <c r="I30" s="114" t="str">
        <f t="shared" si="0"/>
        <v/>
      </c>
      <c r="J30" s="62"/>
      <c r="K30" s="63"/>
    </row>
    <row r="31" spans="1:11" ht="15" customHeight="1" x14ac:dyDescent="0.25">
      <c r="A31" s="72"/>
      <c r="B31" s="57"/>
      <c r="C31" s="58"/>
      <c r="D31" s="57"/>
      <c r="E31" s="57"/>
      <c r="F31" s="59"/>
      <c r="G31" s="57"/>
      <c r="H31" s="58"/>
      <c r="I31" s="113" t="str">
        <f t="shared" si="0"/>
        <v/>
      </c>
      <c r="J31" s="57"/>
      <c r="K31" s="58"/>
    </row>
    <row r="32" spans="1:11" ht="15" customHeight="1" x14ac:dyDescent="0.25">
      <c r="A32" s="74"/>
      <c r="B32" s="62"/>
      <c r="C32" s="63"/>
      <c r="D32" s="62"/>
      <c r="E32" s="62"/>
      <c r="F32" s="64"/>
      <c r="G32" s="62"/>
      <c r="H32" s="63"/>
      <c r="I32" s="114" t="str">
        <f t="shared" si="0"/>
        <v/>
      </c>
      <c r="J32" s="62"/>
      <c r="K32" s="63"/>
    </row>
    <row r="33" spans="1:11" ht="15" customHeight="1" x14ac:dyDescent="0.25">
      <c r="A33" s="72"/>
      <c r="B33" s="57"/>
      <c r="C33" s="58"/>
      <c r="D33" s="57"/>
      <c r="E33" s="57"/>
      <c r="F33" s="59"/>
      <c r="G33" s="57"/>
      <c r="H33" s="58"/>
      <c r="I33" s="113" t="str">
        <f t="shared" si="0"/>
        <v/>
      </c>
      <c r="J33" s="57"/>
      <c r="K33" s="58"/>
    </row>
    <row r="34" spans="1:11" ht="15" customHeight="1" x14ac:dyDescent="0.25">
      <c r="A34" s="74"/>
      <c r="B34" s="62"/>
      <c r="C34" s="63"/>
      <c r="D34" s="62"/>
      <c r="E34" s="62"/>
      <c r="F34" s="64"/>
      <c r="G34" s="62"/>
      <c r="H34" s="63"/>
      <c r="I34" s="114" t="str">
        <f t="shared" si="0"/>
        <v/>
      </c>
      <c r="J34" s="62"/>
      <c r="K34" s="63"/>
    </row>
    <row r="35" spans="1:11" ht="15" customHeight="1" x14ac:dyDescent="0.25">
      <c r="A35" s="72"/>
      <c r="B35" s="57"/>
      <c r="C35" s="58"/>
      <c r="D35" s="57"/>
      <c r="E35" s="57"/>
      <c r="F35" s="59"/>
      <c r="G35" s="57"/>
      <c r="H35" s="58"/>
      <c r="I35" s="113" t="str">
        <f t="shared" si="0"/>
        <v/>
      </c>
      <c r="J35" s="57"/>
      <c r="K35" s="58"/>
    </row>
    <row r="36" spans="1:11" ht="15" customHeight="1" x14ac:dyDescent="0.25">
      <c r="A36" s="74"/>
      <c r="B36" s="62"/>
      <c r="C36" s="63"/>
      <c r="D36" s="62"/>
      <c r="E36" s="62"/>
      <c r="F36" s="64"/>
      <c r="G36" s="62"/>
      <c r="H36" s="63"/>
      <c r="I36" s="114" t="str">
        <f t="shared" si="0"/>
        <v/>
      </c>
      <c r="J36" s="62"/>
      <c r="K36" s="63"/>
    </row>
    <row r="37" spans="1:11" ht="15" customHeight="1" x14ac:dyDescent="0.25">
      <c r="A37" s="72"/>
      <c r="B37" s="57"/>
      <c r="C37" s="58"/>
      <c r="D37" s="57"/>
      <c r="E37" s="57"/>
      <c r="F37" s="59"/>
      <c r="G37" s="57"/>
      <c r="H37" s="58"/>
      <c r="I37" s="113" t="str">
        <f t="shared" si="0"/>
        <v/>
      </c>
      <c r="J37" s="57"/>
      <c r="K37" s="58"/>
    </row>
    <row r="38" spans="1:11" ht="15" customHeight="1" x14ac:dyDescent="0.25">
      <c r="A38" s="74"/>
      <c r="B38" s="62"/>
      <c r="C38" s="63"/>
      <c r="D38" s="62"/>
      <c r="E38" s="62"/>
      <c r="F38" s="64"/>
      <c r="G38" s="62"/>
      <c r="H38" s="63"/>
      <c r="I38" s="114" t="str">
        <f t="shared" ref="I38:I69" si="1">IF(F38="","",IF(I37="",F38,I37+F38))</f>
        <v/>
      </c>
      <c r="J38" s="62"/>
      <c r="K38" s="63"/>
    </row>
    <row r="39" spans="1:11" ht="15" customHeight="1" x14ac:dyDescent="0.25">
      <c r="A39" s="72"/>
      <c r="B39" s="57"/>
      <c r="C39" s="58"/>
      <c r="D39" s="57"/>
      <c r="E39" s="57"/>
      <c r="F39" s="59"/>
      <c r="G39" s="57"/>
      <c r="H39" s="58"/>
      <c r="I39" s="113" t="str">
        <f t="shared" si="1"/>
        <v/>
      </c>
      <c r="J39" s="57"/>
      <c r="K39" s="58"/>
    </row>
    <row r="40" spans="1:11" ht="15" customHeight="1" x14ac:dyDescent="0.25">
      <c r="A40" s="74"/>
      <c r="B40" s="62"/>
      <c r="C40" s="63"/>
      <c r="D40" s="62"/>
      <c r="E40" s="62"/>
      <c r="F40" s="64"/>
      <c r="G40" s="62"/>
      <c r="H40" s="63"/>
      <c r="I40" s="114" t="str">
        <f t="shared" si="1"/>
        <v/>
      </c>
      <c r="J40" s="62"/>
      <c r="K40" s="63"/>
    </row>
    <row r="41" spans="1:11" ht="15" customHeight="1" x14ac:dyDescent="0.25">
      <c r="A41" s="72"/>
      <c r="B41" s="57"/>
      <c r="C41" s="58"/>
      <c r="D41" s="57"/>
      <c r="E41" s="57"/>
      <c r="F41" s="59"/>
      <c r="G41" s="57"/>
      <c r="H41" s="58"/>
      <c r="I41" s="113" t="str">
        <f t="shared" si="1"/>
        <v/>
      </c>
      <c r="J41" s="57"/>
      <c r="K41" s="58"/>
    </row>
    <row r="42" spans="1:11" ht="15" customHeight="1" x14ac:dyDescent="0.25">
      <c r="A42" s="74"/>
      <c r="B42" s="62"/>
      <c r="C42" s="63"/>
      <c r="D42" s="62"/>
      <c r="E42" s="62"/>
      <c r="F42" s="64"/>
      <c r="G42" s="62"/>
      <c r="H42" s="63"/>
      <c r="I42" s="114" t="str">
        <f t="shared" si="1"/>
        <v/>
      </c>
      <c r="J42" s="62"/>
      <c r="K42" s="63"/>
    </row>
    <row r="43" spans="1:11" ht="15" customHeight="1" x14ac:dyDescent="0.25">
      <c r="A43" s="72"/>
      <c r="B43" s="57"/>
      <c r="C43" s="58"/>
      <c r="D43" s="57"/>
      <c r="E43" s="57"/>
      <c r="F43" s="59"/>
      <c r="G43" s="57"/>
      <c r="H43" s="58"/>
      <c r="I43" s="113" t="str">
        <f t="shared" si="1"/>
        <v/>
      </c>
      <c r="J43" s="57"/>
      <c r="K43" s="58"/>
    </row>
    <row r="44" spans="1:11" ht="15" customHeight="1" x14ac:dyDescent="0.25">
      <c r="A44" s="74"/>
      <c r="B44" s="62"/>
      <c r="C44" s="63"/>
      <c r="D44" s="62"/>
      <c r="E44" s="62"/>
      <c r="F44" s="64"/>
      <c r="G44" s="62"/>
      <c r="H44" s="63"/>
      <c r="I44" s="114" t="str">
        <f t="shared" si="1"/>
        <v/>
      </c>
      <c r="J44" s="62"/>
      <c r="K44" s="63"/>
    </row>
    <row r="45" spans="1:11" ht="15" customHeight="1" x14ac:dyDescent="0.25">
      <c r="A45" s="72"/>
      <c r="B45" s="57"/>
      <c r="C45" s="58"/>
      <c r="D45" s="57"/>
      <c r="E45" s="57"/>
      <c r="F45" s="59"/>
      <c r="G45" s="57"/>
      <c r="H45" s="58"/>
      <c r="I45" s="113" t="str">
        <f t="shared" si="1"/>
        <v/>
      </c>
      <c r="J45" s="57"/>
      <c r="K45" s="58"/>
    </row>
    <row r="46" spans="1:11" ht="15" customHeight="1" x14ac:dyDescent="0.25">
      <c r="A46" s="74"/>
      <c r="B46" s="62"/>
      <c r="C46" s="63"/>
      <c r="D46" s="62"/>
      <c r="E46" s="62"/>
      <c r="F46" s="64"/>
      <c r="G46" s="62"/>
      <c r="H46" s="63"/>
      <c r="I46" s="114" t="str">
        <f t="shared" si="1"/>
        <v/>
      </c>
      <c r="J46" s="62"/>
      <c r="K46" s="63"/>
    </row>
    <row r="47" spans="1:11" ht="15" customHeight="1" x14ac:dyDescent="0.25">
      <c r="A47" s="72"/>
      <c r="B47" s="57"/>
      <c r="C47" s="58"/>
      <c r="D47" s="57"/>
      <c r="E47" s="57"/>
      <c r="F47" s="59"/>
      <c r="G47" s="57"/>
      <c r="H47" s="58"/>
      <c r="I47" s="113" t="str">
        <f t="shared" si="1"/>
        <v/>
      </c>
      <c r="J47" s="57"/>
      <c r="K47" s="58"/>
    </row>
    <row r="48" spans="1:11" ht="15" customHeight="1" x14ac:dyDescent="0.25">
      <c r="A48" s="74"/>
      <c r="B48" s="62"/>
      <c r="C48" s="63"/>
      <c r="D48" s="62"/>
      <c r="E48" s="62"/>
      <c r="F48" s="64"/>
      <c r="G48" s="62"/>
      <c r="H48" s="63"/>
      <c r="I48" s="114" t="str">
        <f t="shared" si="1"/>
        <v/>
      </c>
      <c r="J48" s="62"/>
      <c r="K48" s="63"/>
    </row>
    <row r="49" spans="1:11" ht="15" customHeight="1" x14ac:dyDescent="0.25">
      <c r="A49" s="72"/>
      <c r="B49" s="57"/>
      <c r="C49" s="58"/>
      <c r="D49" s="57"/>
      <c r="E49" s="57"/>
      <c r="F49" s="59"/>
      <c r="G49" s="57"/>
      <c r="H49" s="58"/>
      <c r="I49" s="113" t="str">
        <f t="shared" si="1"/>
        <v/>
      </c>
      <c r="J49" s="57"/>
      <c r="K49" s="58"/>
    </row>
    <row r="50" spans="1:11" ht="15" customHeight="1" x14ac:dyDescent="0.25">
      <c r="A50" s="74"/>
      <c r="B50" s="62"/>
      <c r="C50" s="63"/>
      <c r="D50" s="62"/>
      <c r="E50" s="62"/>
      <c r="F50" s="64"/>
      <c r="G50" s="62"/>
      <c r="H50" s="63"/>
      <c r="I50" s="114" t="str">
        <f t="shared" si="1"/>
        <v/>
      </c>
      <c r="J50" s="62"/>
      <c r="K50" s="63"/>
    </row>
    <row r="51" spans="1:11" ht="15" customHeight="1" x14ac:dyDescent="0.25">
      <c r="A51" s="72"/>
      <c r="B51" s="57"/>
      <c r="C51" s="58"/>
      <c r="D51" s="57"/>
      <c r="E51" s="57"/>
      <c r="F51" s="59"/>
      <c r="G51" s="57"/>
      <c r="H51" s="58"/>
      <c r="I51" s="113" t="str">
        <f t="shared" si="1"/>
        <v/>
      </c>
      <c r="J51" s="57"/>
      <c r="K51" s="58"/>
    </row>
    <row r="52" spans="1:11" ht="15" customHeight="1" x14ac:dyDescent="0.25">
      <c r="A52" s="74"/>
      <c r="B52" s="62"/>
      <c r="C52" s="63"/>
      <c r="D52" s="62"/>
      <c r="E52" s="62"/>
      <c r="F52" s="64"/>
      <c r="G52" s="62"/>
      <c r="H52" s="63"/>
      <c r="I52" s="114" t="str">
        <f t="shared" si="1"/>
        <v/>
      </c>
      <c r="J52" s="62"/>
      <c r="K52" s="63"/>
    </row>
    <row r="53" spans="1:11" ht="15" customHeight="1" x14ac:dyDescent="0.25">
      <c r="A53" s="72"/>
      <c r="B53" s="57"/>
      <c r="C53" s="58"/>
      <c r="D53" s="57"/>
      <c r="E53" s="57"/>
      <c r="F53" s="59"/>
      <c r="G53" s="57"/>
      <c r="H53" s="58"/>
      <c r="I53" s="113" t="str">
        <f t="shared" si="1"/>
        <v/>
      </c>
      <c r="J53" s="57"/>
      <c r="K53" s="58"/>
    </row>
    <row r="54" spans="1:11" ht="15" customHeight="1" x14ac:dyDescent="0.25">
      <c r="A54" s="74"/>
      <c r="B54" s="62"/>
      <c r="C54" s="63"/>
      <c r="D54" s="62"/>
      <c r="E54" s="62"/>
      <c r="F54" s="64"/>
      <c r="G54" s="62"/>
      <c r="H54" s="63"/>
      <c r="I54" s="114" t="str">
        <f t="shared" si="1"/>
        <v/>
      </c>
      <c r="J54" s="62"/>
      <c r="K54" s="63"/>
    </row>
    <row r="55" spans="1:11" ht="15" customHeight="1" x14ac:dyDescent="0.25">
      <c r="A55" s="72"/>
      <c r="B55" s="57"/>
      <c r="C55" s="58"/>
      <c r="D55" s="57"/>
      <c r="E55" s="57"/>
      <c r="F55" s="59"/>
      <c r="G55" s="57"/>
      <c r="H55" s="58"/>
      <c r="I55" s="113" t="str">
        <f t="shared" si="1"/>
        <v/>
      </c>
      <c r="J55" s="57"/>
      <c r="K55" s="58"/>
    </row>
    <row r="56" spans="1:11" ht="15" customHeight="1" x14ac:dyDescent="0.25">
      <c r="A56" s="74"/>
      <c r="B56" s="62"/>
      <c r="C56" s="63"/>
      <c r="D56" s="62"/>
      <c r="E56" s="62"/>
      <c r="F56" s="64"/>
      <c r="G56" s="62"/>
      <c r="H56" s="63"/>
      <c r="I56" s="114" t="str">
        <f t="shared" si="1"/>
        <v/>
      </c>
      <c r="J56" s="62"/>
      <c r="K56" s="63"/>
    </row>
    <row r="57" spans="1:11" ht="15" customHeight="1" x14ac:dyDescent="0.25">
      <c r="A57" s="72"/>
      <c r="B57" s="57"/>
      <c r="C57" s="58"/>
      <c r="D57" s="57"/>
      <c r="E57" s="57"/>
      <c r="F57" s="59"/>
      <c r="G57" s="57"/>
      <c r="H57" s="58"/>
      <c r="I57" s="113" t="str">
        <f t="shared" si="1"/>
        <v/>
      </c>
      <c r="J57" s="57"/>
      <c r="K57" s="58"/>
    </row>
    <row r="58" spans="1:11" ht="15" customHeight="1" x14ac:dyDescent="0.25">
      <c r="A58" s="74"/>
      <c r="B58" s="62"/>
      <c r="C58" s="63"/>
      <c r="D58" s="62"/>
      <c r="E58" s="62"/>
      <c r="F58" s="64"/>
      <c r="G58" s="62"/>
      <c r="H58" s="63"/>
      <c r="I58" s="114" t="str">
        <f t="shared" si="1"/>
        <v/>
      </c>
      <c r="J58" s="62"/>
      <c r="K58" s="63"/>
    </row>
    <row r="59" spans="1:11" ht="15" customHeight="1" x14ac:dyDescent="0.25">
      <c r="A59" s="72"/>
      <c r="B59" s="57"/>
      <c r="C59" s="58"/>
      <c r="D59" s="57"/>
      <c r="E59" s="57"/>
      <c r="F59" s="59"/>
      <c r="G59" s="57"/>
      <c r="H59" s="58"/>
      <c r="I59" s="113" t="str">
        <f t="shared" si="1"/>
        <v/>
      </c>
      <c r="J59" s="57"/>
      <c r="K59" s="58"/>
    </row>
    <row r="60" spans="1:11" ht="15" customHeight="1" x14ac:dyDescent="0.25">
      <c r="A60" s="74"/>
      <c r="B60" s="62"/>
      <c r="C60" s="63"/>
      <c r="D60" s="62"/>
      <c r="E60" s="62"/>
      <c r="F60" s="64"/>
      <c r="G60" s="62"/>
      <c r="H60" s="63"/>
      <c r="I60" s="114" t="str">
        <f t="shared" si="1"/>
        <v/>
      </c>
      <c r="J60" s="62"/>
      <c r="K60" s="63"/>
    </row>
    <row r="61" spans="1:11" ht="15" customHeight="1" x14ac:dyDescent="0.25">
      <c r="A61" s="72"/>
      <c r="B61" s="57"/>
      <c r="C61" s="58"/>
      <c r="D61" s="57"/>
      <c r="E61" s="57"/>
      <c r="F61" s="59"/>
      <c r="G61" s="57"/>
      <c r="H61" s="58"/>
      <c r="I61" s="113" t="str">
        <f t="shared" si="1"/>
        <v/>
      </c>
      <c r="J61" s="57"/>
      <c r="K61" s="58"/>
    </row>
    <row r="62" spans="1:11" ht="15" customHeight="1" x14ac:dyDescent="0.25">
      <c r="A62" s="74"/>
      <c r="B62" s="62"/>
      <c r="C62" s="63"/>
      <c r="D62" s="62"/>
      <c r="E62" s="62"/>
      <c r="F62" s="64"/>
      <c r="G62" s="62"/>
      <c r="H62" s="63"/>
      <c r="I62" s="114" t="str">
        <f t="shared" si="1"/>
        <v/>
      </c>
      <c r="J62" s="62"/>
      <c r="K62" s="63"/>
    </row>
    <row r="63" spans="1:11" ht="15" customHeight="1" x14ac:dyDescent="0.25">
      <c r="A63" s="72"/>
      <c r="B63" s="57"/>
      <c r="C63" s="58"/>
      <c r="D63" s="57"/>
      <c r="E63" s="57"/>
      <c r="F63" s="59"/>
      <c r="G63" s="57"/>
      <c r="H63" s="58"/>
      <c r="I63" s="113" t="str">
        <f t="shared" si="1"/>
        <v/>
      </c>
      <c r="J63" s="57"/>
      <c r="K63" s="58"/>
    </row>
    <row r="64" spans="1:11" ht="15" customHeight="1" x14ac:dyDescent="0.25">
      <c r="A64" s="74"/>
      <c r="B64" s="62"/>
      <c r="C64" s="63"/>
      <c r="D64" s="62"/>
      <c r="E64" s="62"/>
      <c r="F64" s="64"/>
      <c r="G64" s="62"/>
      <c r="H64" s="63"/>
      <c r="I64" s="114" t="str">
        <f t="shared" si="1"/>
        <v/>
      </c>
      <c r="J64" s="62"/>
      <c r="K64" s="63"/>
    </row>
    <row r="65" spans="1:11" ht="15" customHeight="1" x14ac:dyDescent="0.25">
      <c r="A65" s="72"/>
      <c r="B65" s="57"/>
      <c r="C65" s="58"/>
      <c r="D65" s="57"/>
      <c r="E65" s="57"/>
      <c r="F65" s="59"/>
      <c r="G65" s="57"/>
      <c r="H65" s="58"/>
      <c r="I65" s="113" t="str">
        <f t="shared" si="1"/>
        <v/>
      </c>
      <c r="J65" s="57"/>
      <c r="K65" s="58"/>
    </row>
    <row r="66" spans="1:11" ht="15" customHeight="1" x14ac:dyDescent="0.25">
      <c r="A66" s="74"/>
      <c r="B66" s="62"/>
      <c r="C66" s="63"/>
      <c r="D66" s="62"/>
      <c r="E66" s="62"/>
      <c r="F66" s="64"/>
      <c r="G66" s="62"/>
      <c r="H66" s="63"/>
      <c r="I66" s="114" t="str">
        <f t="shared" si="1"/>
        <v/>
      </c>
      <c r="J66" s="62"/>
      <c r="K66" s="63"/>
    </row>
    <row r="67" spans="1:11" ht="15" customHeight="1" x14ac:dyDescent="0.25">
      <c r="A67" s="72"/>
      <c r="B67" s="57"/>
      <c r="C67" s="58"/>
      <c r="D67" s="57"/>
      <c r="E67" s="57"/>
      <c r="F67" s="59"/>
      <c r="G67" s="57"/>
      <c r="H67" s="58"/>
      <c r="I67" s="113" t="str">
        <f t="shared" si="1"/>
        <v/>
      </c>
      <c r="J67" s="57"/>
      <c r="K67" s="58"/>
    </row>
    <row r="68" spans="1:11" ht="15" customHeight="1" x14ac:dyDescent="0.25">
      <c r="A68" s="74"/>
      <c r="B68" s="62"/>
      <c r="C68" s="63"/>
      <c r="D68" s="62"/>
      <c r="E68" s="62"/>
      <c r="F68" s="64"/>
      <c r="G68" s="62"/>
      <c r="H68" s="63"/>
      <c r="I68" s="114" t="str">
        <f t="shared" si="1"/>
        <v/>
      </c>
      <c r="J68" s="62"/>
      <c r="K68" s="63"/>
    </row>
    <row r="69" spans="1:11" ht="15" customHeight="1" x14ac:dyDescent="0.25">
      <c r="A69" s="72"/>
      <c r="B69" s="57"/>
      <c r="C69" s="58"/>
      <c r="D69" s="57"/>
      <c r="E69" s="57"/>
      <c r="F69" s="59"/>
      <c r="G69" s="57"/>
      <c r="H69" s="58"/>
      <c r="I69" s="113" t="str">
        <f t="shared" si="1"/>
        <v/>
      </c>
      <c r="J69" s="57"/>
      <c r="K69" s="58"/>
    </row>
    <row r="70" spans="1:11" ht="15" customHeight="1" x14ac:dyDescent="0.25">
      <c r="A70" s="74"/>
      <c r="B70" s="62"/>
      <c r="C70" s="63"/>
      <c r="D70" s="62"/>
      <c r="E70" s="62"/>
      <c r="F70" s="64"/>
      <c r="G70" s="62"/>
      <c r="H70" s="63"/>
      <c r="I70" s="114" t="str">
        <f t="shared" ref="I70:I101" si="2">IF(F70="","",IF(I69="",F70,I69+F70))</f>
        <v/>
      </c>
      <c r="J70" s="62"/>
      <c r="K70" s="63"/>
    </row>
    <row r="71" spans="1:11" ht="15" customHeight="1" x14ac:dyDescent="0.25">
      <c r="A71" s="72"/>
      <c r="B71" s="57"/>
      <c r="C71" s="58"/>
      <c r="D71" s="57"/>
      <c r="E71" s="57"/>
      <c r="F71" s="59"/>
      <c r="G71" s="57"/>
      <c r="H71" s="58"/>
      <c r="I71" s="113" t="str">
        <f t="shared" si="2"/>
        <v/>
      </c>
      <c r="J71" s="57"/>
      <c r="K71" s="58"/>
    </row>
    <row r="72" spans="1:11" ht="15" customHeight="1" x14ac:dyDescent="0.25">
      <c r="A72" s="74"/>
      <c r="B72" s="62"/>
      <c r="C72" s="63"/>
      <c r="D72" s="62"/>
      <c r="E72" s="62"/>
      <c r="F72" s="64"/>
      <c r="G72" s="62"/>
      <c r="H72" s="63"/>
      <c r="I72" s="114" t="str">
        <f t="shared" si="2"/>
        <v/>
      </c>
      <c r="J72" s="62"/>
      <c r="K72" s="63"/>
    </row>
    <row r="73" spans="1:11" ht="15" customHeight="1" x14ac:dyDescent="0.25">
      <c r="A73" s="72"/>
      <c r="B73" s="57"/>
      <c r="C73" s="58"/>
      <c r="D73" s="57"/>
      <c r="E73" s="57"/>
      <c r="F73" s="59"/>
      <c r="G73" s="57"/>
      <c r="H73" s="58"/>
      <c r="I73" s="113" t="str">
        <f t="shared" si="2"/>
        <v/>
      </c>
      <c r="J73" s="57"/>
      <c r="K73" s="58"/>
    </row>
    <row r="74" spans="1:11" ht="15" customHeight="1" x14ac:dyDescent="0.25">
      <c r="A74" s="74"/>
      <c r="B74" s="62"/>
      <c r="C74" s="63"/>
      <c r="D74" s="62"/>
      <c r="E74" s="62"/>
      <c r="F74" s="64"/>
      <c r="G74" s="62"/>
      <c r="H74" s="63"/>
      <c r="I74" s="114" t="str">
        <f t="shared" si="2"/>
        <v/>
      </c>
      <c r="J74" s="62"/>
      <c r="K74" s="63"/>
    </row>
    <row r="75" spans="1:11" ht="15" customHeight="1" x14ac:dyDescent="0.25">
      <c r="A75" s="72"/>
      <c r="B75" s="57"/>
      <c r="C75" s="58"/>
      <c r="D75" s="57"/>
      <c r="E75" s="57"/>
      <c r="F75" s="59"/>
      <c r="G75" s="57"/>
      <c r="H75" s="58"/>
      <c r="I75" s="113" t="str">
        <f t="shared" si="2"/>
        <v/>
      </c>
      <c r="J75" s="57"/>
      <c r="K75" s="58"/>
    </row>
    <row r="76" spans="1:11" ht="15" customHeight="1" x14ac:dyDescent="0.25">
      <c r="A76" s="74"/>
      <c r="B76" s="62"/>
      <c r="C76" s="63"/>
      <c r="D76" s="62"/>
      <c r="E76" s="62"/>
      <c r="F76" s="64"/>
      <c r="G76" s="62"/>
      <c r="H76" s="63"/>
      <c r="I76" s="114" t="str">
        <f t="shared" si="2"/>
        <v/>
      </c>
      <c r="J76" s="62"/>
      <c r="K76" s="63"/>
    </row>
    <row r="77" spans="1:11" ht="15" customHeight="1" x14ac:dyDescent="0.25">
      <c r="A77" s="72"/>
      <c r="B77" s="57"/>
      <c r="C77" s="58"/>
      <c r="D77" s="57"/>
      <c r="E77" s="57"/>
      <c r="F77" s="59"/>
      <c r="G77" s="57"/>
      <c r="H77" s="58"/>
      <c r="I77" s="113" t="str">
        <f t="shared" si="2"/>
        <v/>
      </c>
      <c r="J77" s="57"/>
      <c r="K77" s="58"/>
    </row>
    <row r="78" spans="1:11" ht="15" customHeight="1" x14ac:dyDescent="0.25">
      <c r="A78" s="74"/>
      <c r="B78" s="62"/>
      <c r="C78" s="63"/>
      <c r="D78" s="62"/>
      <c r="E78" s="62"/>
      <c r="F78" s="64"/>
      <c r="G78" s="62"/>
      <c r="H78" s="63"/>
      <c r="I78" s="114" t="str">
        <f t="shared" si="2"/>
        <v/>
      </c>
      <c r="J78" s="62"/>
      <c r="K78" s="63"/>
    </row>
    <row r="79" spans="1:11" ht="15" customHeight="1" x14ac:dyDescent="0.25">
      <c r="A79" s="72"/>
      <c r="B79" s="57"/>
      <c r="C79" s="58"/>
      <c r="D79" s="57"/>
      <c r="E79" s="57"/>
      <c r="F79" s="59"/>
      <c r="G79" s="57"/>
      <c r="H79" s="58"/>
      <c r="I79" s="113" t="str">
        <f t="shared" si="2"/>
        <v/>
      </c>
      <c r="J79" s="57"/>
      <c r="K79" s="58"/>
    </row>
    <row r="80" spans="1:11" ht="15" customHeight="1" x14ac:dyDescent="0.25">
      <c r="A80" s="74"/>
      <c r="B80" s="62"/>
      <c r="C80" s="63"/>
      <c r="D80" s="62"/>
      <c r="E80" s="62"/>
      <c r="F80" s="64"/>
      <c r="G80" s="62"/>
      <c r="H80" s="63"/>
      <c r="I80" s="114" t="str">
        <f t="shared" si="2"/>
        <v/>
      </c>
      <c r="J80" s="62"/>
      <c r="K80" s="63"/>
    </row>
    <row r="81" spans="1:11" ht="15" customHeight="1" x14ac:dyDescent="0.25">
      <c r="A81" s="72"/>
      <c r="B81" s="57"/>
      <c r="C81" s="58"/>
      <c r="D81" s="57"/>
      <c r="E81" s="57"/>
      <c r="F81" s="59"/>
      <c r="G81" s="57"/>
      <c r="H81" s="58"/>
      <c r="I81" s="113" t="str">
        <f t="shared" si="2"/>
        <v/>
      </c>
      <c r="J81" s="57"/>
      <c r="K81" s="58"/>
    </row>
    <row r="82" spans="1:11" ht="15" customHeight="1" x14ac:dyDescent="0.25">
      <c r="A82" s="74"/>
      <c r="B82" s="62"/>
      <c r="C82" s="63"/>
      <c r="D82" s="62"/>
      <c r="E82" s="62"/>
      <c r="F82" s="64"/>
      <c r="G82" s="62"/>
      <c r="H82" s="63"/>
      <c r="I82" s="114" t="str">
        <f t="shared" si="2"/>
        <v/>
      </c>
      <c r="J82" s="62"/>
      <c r="K82" s="63"/>
    </row>
    <row r="83" spans="1:11" ht="15" customHeight="1" x14ac:dyDescent="0.25">
      <c r="A83" s="72"/>
      <c r="B83" s="57"/>
      <c r="C83" s="58"/>
      <c r="D83" s="57"/>
      <c r="E83" s="57"/>
      <c r="F83" s="59"/>
      <c r="G83" s="57"/>
      <c r="H83" s="58"/>
      <c r="I83" s="113" t="str">
        <f t="shared" si="2"/>
        <v/>
      </c>
      <c r="J83" s="57"/>
      <c r="K83" s="58"/>
    </row>
    <row r="84" spans="1:11" ht="15" customHeight="1" x14ac:dyDescent="0.25">
      <c r="A84" s="74"/>
      <c r="B84" s="62"/>
      <c r="C84" s="63"/>
      <c r="D84" s="62"/>
      <c r="E84" s="62"/>
      <c r="F84" s="64"/>
      <c r="G84" s="62"/>
      <c r="H84" s="63"/>
      <c r="I84" s="114" t="str">
        <f t="shared" si="2"/>
        <v/>
      </c>
      <c r="J84" s="62"/>
      <c r="K84" s="63"/>
    </row>
    <row r="85" spans="1:11" ht="15" customHeight="1" x14ac:dyDescent="0.25">
      <c r="A85" s="72"/>
      <c r="B85" s="57"/>
      <c r="C85" s="58"/>
      <c r="D85" s="57"/>
      <c r="E85" s="57"/>
      <c r="F85" s="59"/>
      <c r="G85" s="57"/>
      <c r="H85" s="58"/>
      <c r="I85" s="113" t="str">
        <f t="shared" si="2"/>
        <v/>
      </c>
      <c r="J85" s="57"/>
      <c r="K85" s="58"/>
    </row>
    <row r="86" spans="1:11" ht="15" customHeight="1" x14ac:dyDescent="0.25">
      <c r="A86" s="74"/>
      <c r="B86" s="62"/>
      <c r="C86" s="63"/>
      <c r="D86" s="62"/>
      <c r="E86" s="62"/>
      <c r="F86" s="64"/>
      <c r="G86" s="62"/>
      <c r="H86" s="63"/>
      <c r="I86" s="114" t="str">
        <f t="shared" si="2"/>
        <v/>
      </c>
      <c r="J86" s="62"/>
      <c r="K86" s="63"/>
    </row>
    <row r="87" spans="1:11" ht="15" customHeight="1" x14ac:dyDescent="0.25">
      <c r="A87" s="72"/>
      <c r="B87" s="57"/>
      <c r="C87" s="58"/>
      <c r="D87" s="57"/>
      <c r="E87" s="57"/>
      <c r="F87" s="59"/>
      <c r="G87" s="57"/>
      <c r="H87" s="58"/>
      <c r="I87" s="113" t="str">
        <f t="shared" si="2"/>
        <v/>
      </c>
      <c r="J87" s="57"/>
      <c r="K87" s="58"/>
    </row>
    <row r="88" spans="1:11" ht="15" customHeight="1" x14ac:dyDescent="0.25">
      <c r="A88" s="74"/>
      <c r="B88" s="62"/>
      <c r="C88" s="63"/>
      <c r="D88" s="62"/>
      <c r="E88" s="62"/>
      <c r="F88" s="64"/>
      <c r="G88" s="62"/>
      <c r="H88" s="63"/>
      <c r="I88" s="114" t="str">
        <f t="shared" si="2"/>
        <v/>
      </c>
      <c r="J88" s="62"/>
      <c r="K88" s="63"/>
    </row>
    <row r="89" spans="1:11" ht="15" customHeight="1" x14ac:dyDescent="0.25">
      <c r="A89" s="72"/>
      <c r="B89" s="57"/>
      <c r="C89" s="58"/>
      <c r="D89" s="57"/>
      <c r="E89" s="57"/>
      <c r="F89" s="59"/>
      <c r="G89" s="57"/>
      <c r="H89" s="58"/>
      <c r="I89" s="113" t="str">
        <f t="shared" si="2"/>
        <v/>
      </c>
      <c r="J89" s="57"/>
      <c r="K89" s="58"/>
    </row>
    <row r="90" spans="1:11" ht="15" customHeight="1" x14ac:dyDescent="0.25">
      <c r="A90" s="74"/>
      <c r="B90" s="62"/>
      <c r="C90" s="63"/>
      <c r="D90" s="62"/>
      <c r="E90" s="62"/>
      <c r="F90" s="64"/>
      <c r="G90" s="62"/>
      <c r="H90" s="63"/>
      <c r="I90" s="114" t="str">
        <f t="shared" si="2"/>
        <v/>
      </c>
      <c r="J90" s="62"/>
      <c r="K90" s="63"/>
    </row>
    <row r="91" spans="1:11" ht="15" customHeight="1" x14ac:dyDescent="0.25">
      <c r="A91" s="72"/>
      <c r="B91" s="57"/>
      <c r="C91" s="58"/>
      <c r="D91" s="57"/>
      <c r="E91" s="57"/>
      <c r="F91" s="59"/>
      <c r="G91" s="57"/>
      <c r="H91" s="58"/>
      <c r="I91" s="113" t="str">
        <f t="shared" si="2"/>
        <v/>
      </c>
      <c r="J91" s="57"/>
      <c r="K91" s="58"/>
    </row>
    <row r="92" spans="1:11" ht="15" customHeight="1" x14ac:dyDescent="0.25">
      <c r="A92" s="74"/>
      <c r="B92" s="62"/>
      <c r="C92" s="63"/>
      <c r="D92" s="62"/>
      <c r="E92" s="62"/>
      <c r="F92" s="64"/>
      <c r="G92" s="62"/>
      <c r="H92" s="63"/>
      <c r="I92" s="114" t="str">
        <f t="shared" si="2"/>
        <v/>
      </c>
      <c r="J92" s="62"/>
      <c r="K92" s="63"/>
    </row>
    <row r="93" spans="1:11" ht="15" customHeight="1" x14ac:dyDescent="0.25">
      <c r="A93" s="72"/>
      <c r="B93" s="57"/>
      <c r="C93" s="58"/>
      <c r="D93" s="57"/>
      <c r="E93" s="57"/>
      <c r="F93" s="59"/>
      <c r="G93" s="57"/>
      <c r="H93" s="58"/>
      <c r="I93" s="113" t="str">
        <f t="shared" si="2"/>
        <v/>
      </c>
      <c r="J93" s="57"/>
      <c r="K93" s="58"/>
    </row>
    <row r="94" spans="1:11" ht="15" customHeight="1" x14ac:dyDescent="0.25">
      <c r="A94" s="74"/>
      <c r="B94" s="62"/>
      <c r="C94" s="63"/>
      <c r="D94" s="62"/>
      <c r="E94" s="62"/>
      <c r="F94" s="64"/>
      <c r="G94" s="62"/>
      <c r="H94" s="63"/>
      <c r="I94" s="114" t="str">
        <f t="shared" si="2"/>
        <v/>
      </c>
      <c r="J94" s="62"/>
      <c r="K94" s="63"/>
    </row>
    <row r="95" spans="1:11" ht="15" customHeight="1" x14ac:dyDescent="0.25">
      <c r="A95" s="72"/>
      <c r="B95" s="57"/>
      <c r="C95" s="58"/>
      <c r="D95" s="57"/>
      <c r="E95" s="57"/>
      <c r="F95" s="59"/>
      <c r="G95" s="57"/>
      <c r="H95" s="58"/>
      <c r="I95" s="113" t="str">
        <f t="shared" si="2"/>
        <v/>
      </c>
      <c r="J95" s="57"/>
      <c r="K95" s="58"/>
    </row>
    <row r="96" spans="1:11" ht="15" customHeight="1" x14ac:dyDescent="0.25">
      <c r="A96" s="74"/>
      <c r="B96" s="62"/>
      <c r="C96" s="63"/>
      <c r="D96" s="62"/>
      <c r="E96" s="62"/>
      <c r="F96" s="64"/>
      <c r="G96" s="62"/>
      <c r="H96" s="63"/>
      <c r="I96" s="114" t="str">
        <f t="shared" si="2"/>
        <v/>
      </c>
      <c r="J96" s="62"/>
      <c r="K96" s="63"/>
    </row>
    <row r="97" spans="1:11" ht="15" customHeight="1" x14ac:dyDescent="0.25">
      <c r="A97" s="72"/>
      <c r="B97" s="57"/>
      <c r="C97" s="58"/>
      <c r="D97" s="57"/>
      <c r="E97" s="57"/>
      <c r="F97" s="59"/>
      <c r="G97" s="57"/>
      <c r="H97" s="58"/>
      <c r="I97" s="113" t="str">
        <f t="shared" si="2"/>
        <v/>
      </c>
      <c r="J97" s="57"/>
      <c r="K97" s="58"/>
    </row>
    <row r="98" spans="1:11" ht="15" customHeight="1" x14ac:dyDescent="0.25">
      <c r="A98" s="74"/>
      <c r="B98" s="62"/>
      <c r="C98" s="63"/>
      <c r="D98" s="62"/>
      <c r="E98" s="62"/>
      <c r="F98" s="64"/>
      <c r="G98" s="62"/>
      <c r="H98" s="63"/>
      <c r="I98" s="114" t="str">
        <f t="shared" si="2"/>
        <v/>
      </c>
      <c r="J98" s="62"/>
      <c r="K98" s="63"/>
    </row>
    <row r="99" spans="1:11" ht="15" customHeight="1" x14ac:dyDescent="0.25">
      <c r="A99" s="72"/>
      <c r="B99" s="57"/>
      <c r="C99" s="58"/>
      <c r="D99" s="57"/>
      <c r="E99" s="57"/>
      <c r="F99" s="59"/>
      <c r="G99" s="57"/>
      <c r="H99" s="58"/>
      <c r="I99" s="113" t="str">
        <f t="shared" si="2"/>
        <v/>
      </c>
      <c r="J99" s="57"/>
      <c r="K99" s="58"/>
    </row>
    <row r="100" spans="1:11" ht="15" customHeight="1" x14ac:dyDescent="0.25">
      <c r="A100" s="74"/>
      <c r="B100" s="62"/>
      <c r="C100" s="63"/>
      <c r="D100" s="62"/>
      <c r="E100" s="62"/>
      <c r="F100" s="64"/>
      <c r="G100" s="62"/>
      <c r="H100" s="63"/>
      <c r="I100" s="114" t="str">
        <f t="shared" si="2"/>
        <v/>
      </c>
      <c r="J100" s="62"/>
      <c r="K100" s="63"/>
    </row>
    <row r="101" spans="1:11" ht="15" customHeight="1" x14ac:dyDescent="0.25">
      <c r="A101" s="72"/>
      <c r="B101" s="57"/>
      <c r="C101" s="58"/>
      <c r="D101" s="57"/>
      <c r="E101" s="57"/>
      <c r="F101" s="59"/>
      <c r="G101" s="57"/>
      <c r="H101" s="58"/>
      <c r="I101" s="113" t="str">
        <f t="shared" si="2"/>
        <v/>
      </c>
      <c r="J101" s="57"/>
      <c r="K101" s="58"/>
    </row>
    <row r="102" spans="1:11" ht="15" customHeight="1" x14ac:dyDescent="0.25">
      <c r="A102" s="74"/>
      <c r="B102" s="62"/>
      <c r="C102" s="63"/>
      <c r="D102" s="62"/>
      <c r="E102" s="62"/>
      <c r="F102" s="64"/>
      <c r="G102" s="62"/>
      <c r="H102" s="63"/>
      <c r="I102" s="114" t="str">
        <f t="shared" ref="I102:I133" si="3">IF(F102="","",IF(I101="",F102,I101+F102))</f>
        <v/>
      </c>
      <c r="J102" s="62"/>
      <c r="K102" s="63"/>
    </row>
    <row r="103" spans="1:11" ht="15" customHeight="1" x14ac:dyDescent="0.25">
      <c r="A103" s="72"/>
      <c r="B103" s="57"/>
      <c r="C103" s="58"/>
      <c r="D103" s="57"/>
      <c r="E103" s="57"/>
      <c r="F103" s="59"/>
      <c r="G103" s="57"/>
      <c r="H103" s="58"/>
      <c r="I103" s="113" t="str">
        <f t="shared" si="3"/>
        <v/>
      </c>
      <c r="J103" s="57"/>
      <c r="K103" s="58"/>
    </row>
    <row r="104" spans="1:11" ht="15" customHeight="1" x14ac:dyDescent="0.25">
      <c r="A104" s="74"/>
      <c r="B104" s="62"/>
      <c r="C104" s="63"/>
      <c r="D104" s="62"/>
      <c r="E104" s="62"/>
      <c r="F104" s="64"/>
      <c r="G104" s="62"/>
      <c r="H104" s="63"/>
      <c r="I104" s="114" t="str">
        <f t="shared" si="3"/>
        <v/>
      </c>
      <c r="J104" s="62"/>
      <c r="K104" s="63"/>
    </row>
    <row r="105" spans="1:11" ht="15" customHeight="1" x14ac:dyDescent="0.25">
      <c r="A105" s="72"/>
      <c r="B105" s="57"/>
      <c r="C105" s="58"/>
      <c r="D105" s="57"/>
      <c r="E105" s="57"/>
      <c r="F105" s="59"/>
      <c r="G105" s="57"/>
      <c r="H105" s="58"/>
      <c r="I105" s="113" t="str">
        <f t="shared" si="3"/>
        <v/>
      </c>
      <c r="J105" s="57"/>
      <c r="K105" s="58"/>
    </row>
    <row r="106" spans="1:11" ht="15" customHeight="1" x14ac:dyDescent="0.25">
      <c r="A106" s="74"/>
      <c r="B106" s="62"/>
      <c r="C106" s="63"/>
      <c r="D106" s="62"/>
      <c r="E106" s="62"/>
      <c r="F106" s="64"/>
      <c r="G106" s="62"/>
      <c r="H106" s="63"/>
      <c r="I106" s="114" t="str">
        <f t="shared" si="3"/>
        <v/>
      </c>
      <c r="J106" s="62"/>
      <c r="K106" s="63"/>
    </row>
    <row r="107" spans="1:11" ht="15" customHeight="1" x14ac:dyDescent="0.25">
      <c r="A107" s="72"/>
      <c r="B107" s="57"/>
      <c r="C107" s="58"/>
      <c r="D107" s="57"/>
      <c r="E107" s="57"/>
      <c r="F107" s="59"/>
      <c r="G107" s="57"/>
      <c r="H107" s="58"/>
      <c r="I107" s="113" t="str">
        <f t="shared" si="3"/>
        <v/>
      </c>
      <c r="J107" s="57"/>
      <c r="K107" s="58"/>
    </row>
    <row r="108" spans="1:11" ht="15" customHeight="1" x14ac:dyDescent="0.25">
      <c r="A108" s="74"/>
      <c r="B108" s="62"/>
      <c r="C108" s="63"/>
      <c r="D108" s="62"/>
      <c r="E108" s="62"/>
      <c r="F108" s="64"/>
      <c r="G108" s="62"/>
      <c r="H108" s="63"/>
      <c r="I108" s="114" t="str">
        <f t="shared" si="3"/>
        <v/>
      </c>
      <c r="J108" s="62"/>
      <c r="K108" s="63"/>
    </row>
    <row r="109" spans="1:11" ht="15" customHeight="1" x14ac:dyDescent="0.25">
      <c r="A109" s="72"/>
      <c r="B109" s="57"/>
      <c r="C109" s="58"/>
      <c r="D109" s="57"/>
      <c r="E109" s="57"/>
      <c r="F109" s="59"/>
      <c r="G109" s="57"/>
      <c r="H109" s="58"/>
      <c r="I109" s="113" t="str">
        <f t="shared" si="3"/>
        <v/>
      </c>
      <c r="J109" s="57"/>
      <c r="K109" s="58"/>
    </row>
    <row r="110" spans="1:11" ht="15" customHeight="1" x14ac:dyDescent="0.25">
      <c r="A110" s="74"/>
      <c r="B110" s="62"/>
      <c r="C110" s="63"/>
      <c r="D110" s="62"/>
      <c r="E110" s="62"/>
      <c r="F110" s="64"/>
      <c r="G110" s="62"/>
      <c r="H110" s="63"/>
      <c r="I110" s="114" t="str">
        <f t="shared" si="3"/>
        <v/>
      </c>
      <c r="J110" s="62"/>
      <c r="K110" s="63"/>
    </row>
    <row r="111" spans="1:11" ht="15" customHeight="1" x14ac:dyDescent="0.25">
      <c r="A111" s="72"/>
      <c r="B111" s="57"/>
      <c r="C111" s="58"/>
      <c r="D111" s="57"/>
      <c r="E111" s="57"/>
      <c r="F111" s="59"/>
      <c r="G111" s="57"/>
      <c r="H111" s="58"/>
      <c r="I111" s="113" t="str">
        <f t="shared" si="3"/>
        <v/>
      </c>
      <c r="J111" s="57"/>
      <c r="K111" s="58"/>
    </row>
    <row r="112" spans="1:11" ht="15" customHeight="1" x14ac:dyDescent="0.25">
      <c r="A112" s="74"/>
      <c r="B112" s="62"/>
      <c r="C112" s="63"/>
      <c r="D112" s="62"/>
      <c r="E112" s="62"/>
      <c r="F112" s="64"/>
      <c r="G112" s="62"/>
      <c r="H112" s="63"/>
      <c r="I112" s="114" t="str">
        <f t="shared" si="3"/>
        <v/>
      </c>
      <c r="J112" s="62"/>
      <c r="K112" s="63"/>
    </row>
    <row r="113" spans="1:11" ht="15" customHeight="1" x14ac:dyDescent="0.25">
      <c r="A113" s="72"/>
      <c r="B113" s="57"/>
      <c r="C113" s="58"/>
      <c r="D113" s="57"/>
      <c r="E113" s="57"/>
      <c r="F113" s="59"/>
      <c r="G113" s="57"/>
      <c r="H113" s="58"/>
      <c r="I113" s="113" t="str">
        <f t="shared" si="3"/>
        <v/>
      </c>
      <c r="J113" s="57"/>
      <c r="K113" s="58"/>
    </row>
    <row r="114" spans="1:11" ht="15" customHeight="1" x14ac:dyDescent="0.25">
      <c r="A114" s="74"/>
      <c r="B114" s="62"/>
      <c r="C114" s="63"/>
      <c r="D114" s="62"/>
      <c r="E114" s="62"/>
      <c r="F114" s="64"/>
      <c r="G114" s="62"/>
      <c r="H114" s="63"/>
      <c r="I114" s="114" t="str">
        <f t="shared" si="3"/>
        <v/>
      </c>
      <c r="J114" s="62"/>
      <c r="K114" s="63"/>
    </row>
    <row r="115" spans="1:11" ht="15" customHeight="1" x14ac:dyDescent="0.25">
      <c r="A115" s="72"/>
      <c r="B115" s="57"/>
      <c r="C115" s="58"/>
      <c r="D115" s="57"/>
      <c r="E115" s="57"/>
      <c r="F115" s="59"/>
      <c r="G115" s="57"/>
      <c r="H115" s="58"/>
      <c r="I115" s="113" t="str">
        <f t="shared" si="3"/>
        <v/>
      </c>
      <c r="J115" s="57"/>
      <c r="K115" s="58"/>
    </row>
    <row r="116" spans="1:11" ht="15" customHeight="1" x14ac:dyDescent="0.25">
      <c r="A116" s="74"/>
      <c r="B116" s="62"/>
      <c r="C116" s="63"/>
      <c r="D116" s="62"/>
      <c r="E116" s="62"/>
      <c r="F116" s="64"/>
      <c r="G116" s="62"/>
      <c r="H116" s="63"/>
      <c r="I116" s="114" t="str">
        <f t="shared" si="3"/>
        <v/>
      </c>
      <c r="J116" s="62"/>
      <c r="K116" s="63"/>
    </row>
    <row r="117" spans="1:11" ht="15" customHeight="1" x14ac:dyDescent="0.25">
      <c r="A117" s="72"/>
      <c r="B117" s="57"/>
      <c r="C117" s="58"/>
      <c r="D117" s="57"/>
      <c r="E117" s="57"/>
      <c r="F117" s="59"/>
      <c r="G117" s="57"/>
      <c r="H117" s="58"/>
      <c r="I117" s="113" t="str">
        <f t="shared" si="3"/>
        <v/>
      </c>
      <c r="J117" s="57"/>
      <c r="K117" s="58"/>
    </row>
    <row r="118" spans="1:11" ht="15" customHeight="1" x14ac:dyDescent="0.25">
      <c r="A118" s="74"/>
      <c r="B118" s="62"/>
      <c r="C118" s="63"/>
      <c r="D118" s="62"/>
      <c r="E118" s="62"/>
      <c r="F118" s="64"/>
      <c r="G118" s="62"/>
      <c r="H118" s="63"/>
      <c r="I118" s="114" t="str">
        <f t="shared" si="3"/>
        <v/>
      </c>
      <c r="J118" s="62"/>
      <c r="K118" s="63"/>
    </row>
    <row r="119" spans="1:11" ht="15" customHeight="1" x14ac:dyDescent="0.25">
      <c r="A119" s="72"/>
      <c r="B119" s="57"/>
      <c r="C119" s="58"/>
      <c r="D119" s="57"/>
      <c r="E119" s="57"/>
      <c r="F119" s="59"/>
      <c r="G119" s="57"/>
      <c r="H119" s="58"/>
      <c r="I119" s="113" t="str">
        <f t="shared" si="3"/>
        <v/>
      </c>
      <c r="J119" s="57"/>
      <c r="K119" s="58"/>
    </row>
    <row r="120" spans="1:11" ht="15" customHeight="1" x14ac:dyDescent="0.25">
      <c r="A120" s="74"/>
      <c r="B120" s="62"/>
      <c r="C120" s="63"/>
      <c r="D120" s="62"/>
      <c r="E120" s="62"/>
      <c r="F120" s="64"/>
      <c r="G120" s="62"/>
      <c r="H120" s="63"/>
      <c r="I120" s="114" t="str">
        <f t="shared" si="3"/>
        <v/>
      </c>
      <c r="J120" s="62"/>
      <c r="K120" s="63"/>
    </row>
    <row r="121" spans="1:11" ht="15" customHeight="1" x14ac:dyDescent="0.25">
      <c r="A121" s="72"/>
      <c r="B121" s="57"/>
      <c r="C121" s="58"/>
      <c r="D121" s="57"/>
      <c r="E121" s="57"/>
      <c r="F121" s="59"/>
      <c r="G121" s="57"/>
      <c r="H121" s="58"/>
      <c r="I121" s="113" t="str">
        <f t="shared" si="3"/>
        <v/>
      </c>
      <c r="J121" s="57"/>
      <c r="K121" s="58"/>
    </row>
    <row r="122" spans="1:11" ht="15" customHeight="1" x14ac:dyDescent="0.25">
      <c r="A122" s="74"/>
      <c r="B122" s="62"/>
      <c r="C122" s="63"/>
      <c r="D122" s="62"/>
      <c r="E122" s="62"/>
      <c r="F122" s="64"/>
      <c r="G122" s="62"/>
      <c r="H122" s="63"/>
      <c r="I122" s="114" t="str">
        <f t="shared" si="3"/>
        <v/>
      </c>
      <c r="J122" s="62"/>
      <c r="K122" s="63"/>
    </row>
    <row r="123" spans="1:11" ht="15" customHeight="1" x14ac:dyDescent="0.25">
      <c r="A123" s="72"/>
      <c r="B123" s="57"/>
      <c r="C123" s="58"/>
      <c r="D123" s="57"/>
      <c r="E123" s="57"/>
      <c r="F123" s="59"/>
      <c r="G123" s="57"/>
      <c r="H123" s="58"/>
      <c r="I123" s="113" t="str">
        <f t="shared" si="3"/>
        <v/>
      </c>
      <c r="J123" s="57"/>
      <c r="K123" s="58"/>
    </row>
    <row r="124" spans="1:11" ht="15" customHeight="1" x14ac:dyDescent="0.25">
      <c r="A124" s="74"/>
      <c r="B124" s="62"/>
      <c r="C124" s="63"/>
      <c r="D124" s="62"/>
      <c r="E124" s="62"/>
      <c r="F124" s="64"/>
      <c r="G124" s="62"/>
      <c r="H124" s="63"/>
      <c r="I124" s="114" t="str">
        <f t="shared" si="3"/>
        <v/>
      </c>
      <c r="J124" s="62"/>
      <c r="K124" s="63"/>
    </row>
    <row r="125" spans="1:11" ht="15" customHeight="1" x14ac:dyDescent="0.25">
      <c r="A125" s="72"/>
      <c r="B125" s="57"/>
      <c r="C125" s="58"/>
      <c r="D125" s="57"/>
      <c r="E125" s="57"/>
      <c r="F125" s="59"/>
      <c r="G125" s="57"/>
      <c r="H125" s="58"/>
      <c r="I125" s="113" t="str">
        <f t="shared" si="3"/>
        <v/>
      </c>
      <c r="J125" s="57"/>
      <c r="K125" s="58"/>
    </row>
    <row r="126" spans="1:11" ht="15" customHeight="1" x14ac:dyDescent="0.25">
      <c r="A126" s="74"/>
      <c r="B126" s="62"/>
      <c r="C126" s="63"/>
      <c r="D126" s="62"/>
      <c r="E126" s="62"/>
      <c r="F126" s="64"/>
      <c r="G126" s="62"/>
      <c r="H126" s="63"/>
      <c r="I126" s="114" t="str">
        <f t="shared" si="3"/>
        <v/>
      </c>
      <c r="J126" s="62"/>
      <c r="K126" s="63"/>
    </row>
    <row r="127" spans="1:11" ht="15" customHeight="1" x14ac:dyDescent="0.25">
      <c r="A127" s="72"/>
      <c r="B127" s="57"/>
      <c r="C127" s="58"/>
      <c r="D127" s="57"/>
      <c r="E127" s="57"/>
      <c r="F127" s="59"/>
      <c r="G127" s="57"/>
      <c r="H127" s="58"/>
      <c r="I127" s="113" t="str">
        <f t="shared" si="3"/>
        <v/>
      </c>
      <c r="J127" s="57"/>
      <c r="K127" s="58"/>
    </row>
    <row r="128" spans="1:11" ht="15" customHeight="1" x14ac:dyDescent="0.25">
      <c r="A128" s="74"/>
      <c r="B128" s="62"/>
      <c r="C128" s="63"/>
      <c r="D128" s="62"/>
      <c r="E128" s="62"/>
      <c r="F128" s="64"/>
      <c r="G128" s="62"/>
      <c r="H128" s="63"/>
      <c r="I128" s="114" t="str">
        <f t="shared" si="3"/>
        <v/>
      </c>
      <c r="J128" s="62"/>
      <c r="K128" s="63"/>
    </row>
    <row r="129" spans="1:11" ht="15" customHeight="1" x14ac:dyDescent="0.25">
      <c r="A129" s="72"/>
      <c r="B129" s="57"/>
      <c r="C129" s="58"/>
      <c r="D129" s="57"/>
      <c r="E129" s="57"/>
      <c r="F129" s="59"/>
      <c r="G129" s="57"/>
      <c r="H129" s="58"/>
      <c r="I129" s="113" t="str">
        <f t="shared" si="3"/>
        <v/>
      </c>
      <c r="J129" s="57"/>
      <c r="K129" s="58"/>
    </row>
    <row r="130" spans="1:11" ht="15" customHeight="1" x14ac:dyDescent="0.25">
      <c r="A130" s="74"/>
      <c r="B130" s="62"/>
      <c r="C130" s="63"/>
      <c r="D130" s="62"/>
      <c r="E130" s="62"/>
      <c r="F130" s="64"/>
      <c r="G130" s="62"/>
      <c r="H130" s="63"/>
      <c r="I130" s="114" t="str">
        <f t="shared" si="3"/>
        <v/>
      </c>
      <c r="J130" s="62"/>
      <c r="K130" s="63"/>
    </row>
    <row r="131" spans="1:11" ht="15" customHeight="1" x14ac:dyDescent="0.25">
      <c r="A131" s="72"/>
      <c r="B131" s="57"/>
      <c r="C131" s="58"/>
      <c r="D131" s="57"/>
      <c r="E131" s="57"/>
      <c r="F131" s="59"/>
      <c r="G131" s="57"/>
      <c r="H131" s="58"/>
      <c r="I131" s="113" t="str">
        <f t="shared" si="3"/>
        <v/>
      </c>
      <c r="J131" s="57"/>
      <c r="K131" s="58"/>
    </row>
    <row r="132" spans="1:11" ht="15" customHeight="1" x14ac:dyDescent="0.25">
      <c r="A132" s="74"/>
      <c r="B132" s="62"/>
      <c r="C132" s="63"/>
      <c r="D132" s="62"/>
      <c r="E132" s="62"/>
      <c r="F132" s="64"/>
      <c r="G132" s="62"/>
      <c r="H132" s="63"/>
      <c r="I132" s="114" t="str">
        <f t="shared" si="3"/>
        <v/>
      </c>
      <c r="J132" s="62"/>
      <c r="K132" s="63"/>
    </row>
    <row r="133" spans="1:11" ht="15" customHeight="1" x14ac:dyDescent="0.25">
      <c r="A133" s="72"/>
      <c r="B133" s="57"/>
      <c r="C133" s="58"/>
      <c r="D133" s="57"/>
      <c r="E133" s="57"/>
      <c r="F133" s="59"/>
      <c r="G133" s="57"/>
      <c r="H133" s="58"/>
      <c r="I133" s="113" t="str">
        <f t="shared" si="3"/>
        <v/>
      </c>
      <c r="J133" s="57"/>
      <c r="K133" s="58"/>
    </row>
    <row r="134" spans="1:11" ht="15" customHeight="1" x14ac:dyDescent="0.25">
      <c r="A134" s="74"/>
      <c r="B134" s="62"/>
      <c r="C134" s="63"/>
      <c r="D134" s="62"/>
      <c r="E134" s="62"/>
      <c r="F134" s="64"/>
      <c r="G134" s="62"/>
      <c r="H134" s="63"/>
      <c r="I134" s="114" t="str">
        <f t="shared" ref="I134:I154" si="4">IF(F134="","",IF(I133="",F134,I133+F134))</f>
        <v/>
      </c>
      <c r="J134" s="62"/>
      <c r="K134" s="63"/>
    </row>
    <row r="135" spans="1:11" ht="15" customHeight="1" x14ac:dyDescent="0.25">
      <c r="A135" s="72"/>
      <c r="B135" s="57"/>
      <c r="C135" s="58"/>
      <c r="D135" s="57"/>
      <c r="E135" s="57"/>
      <c r="F135" s="59"/>
      <c r="G135" s="57"/>
      <c r="H135" s="58"/>
      <c r="I135" s="113" t="str">
        <f t="shared" si="4"/>
        <v/>
      </c>
      <c r="J135" s="57"/>
      <c r="K135" s="58"/>
    </row>
    <row r="136" spans="1:11" ht="15" customHeight="1" x14ac:dyDescent="0.25">
      <c r="A136" s="74"/>
      <c r="B136" s="62"/>
      <c r="C136" s="63"/>
      <c r="D136" s="62"/>
      <c r="E136" s="62"/>
      <c r="F136" s="64"/>
      <c r="G136" s="62"/>
      <c r="H136" s="63"/>
      <c r="I136" s="114" t="str">
        <f t="shared" si="4"/>
        <v/>
      </c>
      <c r="J136" s="62"/>
      <c r="K136" s="63"/>
    </row>
    <row r="137" spans="1:11" ht="15" customHeight="1" x14ac:dyDescent="0.25">
      <c r="A137" s="72"/>
      <c r="B137" s="57"/>
      <c r="C137" s="58"/>
      <c r="D137" s="57"/>
      <c r="E137" s="57"/>
      <c r="F137" s="59"/>
      <c r="G137" s="57"/>
      <c r="H137" s="58"/>
      <c r="I137" s="113" t="str">
        <f t="shared" si="4"/>
        <v/>
      </c>
      <c r="J137" s="57"/>
      <c r="K137" s="58"/>
    </row>
    <row r="138" spans="1:11" ht="15" customHeight="1" x14ac:dyDescent="0.25">
      <c r="A138" s="74"/>
      <c r="B138" s="62"/>
      <c r="C138" s="63"/>
      <c r="D138" s="62"/>
      <c r="E138" s="62"/>
      <c r="F138" s="64"/>
      <c r="G138" s="62"/>
      <c r="H138" s="63"/>
      <c r="I138" s="114" t="str">
        <f t="shared" si="4"/>
        <v/>
      </c>
      <c r="J138" s="62"/>
      <c r="K138" s="63"/>
    </row>
    <row r="139" spans="1:11" ht="15" customHeight="1" x14ac:dyDescent="0.25">
      <c r="A139" s="72"/>
      <c r="B139" s="57"/>
      <c r="C139" s="58"/>
      <c r="D139" s="57"/>
      <c r="E139" s="57"/>
      <c r="F139" s="59"/>
      <c r="G139" s="57"/>
      <c r="H139" s="58"/>
      <c r="I139" s="113" t="str">
        <f t="shared" si="4"/>
        <v/>
      </c>
      <c r="J139" s="57"/>
      <c r="K139" s="58"/>
    </row>
    <row r="140" spans="1:11" ht="15" customHeight="1" x14ac:dyDescent="0.25">
      <c r="A140" s="74"/>
      <c r="B140" s="62"/>
      <c r="C140" s="63"/>
      <c r="D140" s="62"/>
      <c r="E140" s="62"/>
      <c r="F140" s="64"/>
      <c r="G140" s="62"/>
      <c r="H140" s="63"/>
      <c r="I140" s="114" t="str">
        <f t="shared" si="4"/>
        <v/>
      </c>
      <c r="J140" s="62"/>
      <c r="K140" s="63"/>
    </row>
    <row r="141" spans="1:11" ht="15" customHeight="1" x14ac:dyDescent="0.25">
      <c r="A141" s="72"/>
      <c r="B141" s="57"/>
      <c r="C141" s="58"/>
      <c r="D141" s="57"/>
      <c r="E141" s="57"/>
      <c r="F141" s="59"/>
      <c r="G141" s="57"/>
      <c r="H141" s="58"/>
      <c r="I141" s="113" t="str">
        <f t="shared" si="4"/>
        <v/>
      </c>
      <c r="J141" s="57"/>
      <c r="K141" s="58"/>
    </row>
    <row r="142" spans="1:11" ht="15" customHeight="1" x14ac:dyDescent="0.25">
      <c r="A142" s="74"/>
      <c r="B142" s="62"/>
      <c r="C142" s="63"/>
      <c r="D142" s="62"/>
      <c r="E142" s="62"/>
      <c r="F142" s="64"/>
      <c r="G142" s="62"/>
      <c r="H142" s="63"/>
      <c r="I142" s="114" t="str">
        <f t="shared" si="4"/>
        <v/>
      </c>
      <c r="J142" s="62"/>
      <c r="K142" s="63"/>
    </row>
    <row r="143" spans="1:11" ht="15" customHeight="1" x14ac:dyDescent="0.25">
      <c r="A143" s="72"/>
      <c r="B143" s="57"/>
      <c r="C143" s="58"/>
      <c r="D143" s="57"/>
      <c r="E143" s="57"/>
      <c r="F143" s="59"/>
      <c r="G143" s="57"/>
      <c r="H143" s="58"/>
      <c r="I143" s="113" t="str">
        <f t="shared" si="4"/>
        <v/>
      </c>
      <c r="J143" s="57"/>
      <c r="K143" s="58"/>
    </row>
    <row r="144" spans="1:11" ht="15" customHeight="1" x14ac:dyDescent="0.25">
      <c r="A144" s="74"/>
      <c r="B144" s="62"/>
      <c r="C144" s="63"/>
      <c r="D144" s="62"/>
      <c r="E144" s="62"/>
      <c r="F144" s="64"/>
      <c r="G144" s="62"/>
      <c r="H144" s="63"/>
      <c r="I144" s="114" t="str">
        <f t="shared" si="4"/>
        <v/>
      </c>
      <c r="J144" s="62"/>
      <c r="K144" s="63"/>
    </row>
    <row r="145" spans="1:11" ht="15" customHeight="1" x14ac:dyDescent="0.25">
      <c r="A145" s="72"/>
      <c r="B145" s="57"/>
      <c r="C145" s="58"/>
      <c r="D145" s="57"/>
      <c r="E145" s="57"/>
      <c r="F145" s="59"/>
      <c r="G145" s="57"/>
      <c r="H145" s="58"/>
      <c r="I145" s="113" t="str">
        <f t="shared" si="4"/>
        <v/>
      </c>
      <c r="J145" s="57"/>
      <c r="K145" s="58"/>
    </row>
    <row r="146" spans="1:11" ht="15" customHeight="1" x14ac:dyDescent="0.25">
      <c r="A146" s="74"/>
      <c r="B146" s="62"/>
      <c r="C146" s="63"/>
      <c r="D146" s="62"/>
      <c r="E146" s="62"/>
      <c r="F146" s="64"/>
      <c r="G146" s="62"/>
      <c r="H146" s="63"/>
      <c r="I146" s="114" t="str">
        <f t="shared" si="4"/>
        <v/>
      </c>
      <c r="J146" s="62"/>
      <c r="K146" s="63"/>
    </row>
    <row r="147" spans="1:11" ht="15" customHeight="1" x14ac:dyDescent="0.25">
      <c r="A147" s="72"/>
      <c r="B147" s="57"/>
      <c r="C147" s="58"/>
      <c r="D147" s="57"/>
      <c r="E147" s="57"/>
      <c r="F147" s="59"/>
      <c r="G147" s="57"/>
      <c r="H147" s="58"/>
      <c r="I147" s="113" t="str">
        <f t="shared" si="4"/>
        <v/>
      </c>
      <c r="J147" s="57"/>
      <c r="K147" s="58"/>
    </row>
    <row r="148" spans="1:11" ht="15" customHeight="1" x14ac:dyDescent="0.25">
      <c r="A148" s="74"/>
      <c r="B148" s="62"/>
      <c r="C148" s="63"/>
      <c r="D148" s="62"/>
      <c r="E148" s="62"/>
      <c r="F148" s="64"/>
      <c r="G148" s="62"/>
      <c r="H148" s="63"/>
      <c r="I148" s="114" t="str">
        <f t="shared" si="4"/>
        <v/>
      </c>
      <c r="J148" s="62"/>
      <c r="K148" s="63"/>
    </row>
    <row r="149" spans="1:11" ht="15" customHeight="1" x14ac:dyDescent="0.25">
      <c r="A149" s="72"/>
      <c r="B149" s="57"/>
      <c r="C149" s="58"/>
      <c r="D149" s="57"/>
      <c r="E149" s="57"/>
      <c r="F149" s="59"/>
      <c r="G149" s="57"/>
      <c r="H149" s="58"/>
      <c r="I149" s="113" t="str">
        <f t="shared" si="4"/>
        <v/>
      </c>
      <c r="J149" s="57"/>
      <c r="K149" s="58"/>
    </row>
    <row r="150" spans="1:11" ht="15" customHeight="1" x14ac:dyDescent="0.25">
      <c r="A150" s="74"/>
      <c r="B150" s="62"/>
      <c r="C150" s="63"/>
      <c r="D150" s="62"/>
      <c r="E150" s="62"/>
      <c r="F150" s="64"/>
      <c r="G150" s="62"/>
      <c r="H150" s="63"/>
      <c r="I150" s="114" t="str">
        <f t="shared" si="4"/>
        <v/>
      </c>
      <c r="J150" s="62"/>
      <c r="K150" s="63"/>
    </row>
    <row r="151" spans="1:11" ht="15" customHeight="1" x14ac:dyDescent="0.25">
      <c r="A151" s="72"/>
      <c r="B151" s="57"/>
      <c r="C151" s="58"/>
      <c r="D151" s="57"/>
      <c r="E151" s="57"/>
      <c r="F151" s="59"/>
      <c r="G151" s="57"/>
      <c r="H151" s="58"/>
      <c r="I151" s="113" t="str">
        <f t="shared" si="4"/>
        <v/>
      </c>
      <c r="J151" s="57"/>
      <c r="K151" s="58"/>
    </row>
    <row r="152" spans="1:11" ht="15" customHeight="1" x14ac:dyDescent="0.25">
      <c r="A152" s="74"/>
      <c r="B152" s="62"/>
      <c r="C152" s="63"/>
      <c r="D152" s="62"/>
      <c r="E152" s="62"/>
      <c r="F152" s="64"/>
      <c r="G152" s="62"/>
      <c r="H152" s="63"/>
      <c r="I152" s="114" t="str">
        <f t="shared" si="4"/>
        <v/>
      </c>
      <c r="J152" s="62"/>
      <c r="K152" s="63"/>
    </row>
    <row r="153" spans="1:11" ht="15" customHeight="1" x14ac:dyDescent="0.25">
      <c r="A153" s="72"/>
      <c r="B153" s="57"/>
      <c r="C153" s="58"/>
      <c r="D153" s="57"/>
      <c r="E153" s="57"/>
      <c r="F153" s="59"/>
      <c r="G153" s="57"/>
      <c r="H153" s="58"/>
      <c r="I153" s="113" t="str">
        <f t="shared" si="4"/>
        <v/>
      </c>
      <c r="J153" s="57"/>
      <c r="K153" s="58"/>
    </row>
    <row r="154" spans="1:11" ht="15" customHeight="1" x14ac:dyDescent="0.25">
      <c r="A154" s="74"/>
      <c r="B154" s="62"/>
      <c r="C154" s="63"/>
      <c r="D154" s="62"/>
      <c r="E154" s="62"/>
      <c r="F154" s="64"/>
      <c r="G154" s="62"/>
      <c r="H154" s="63"/>
      <c r="I154" s="114" t="str">
        <f t="shared" si="4"/>
        <v/>
      </c>
      <c r="J154" s="62"/>
      <c r="K154" s="63"/>
    </row>
    <row r="157" spans="1:11" ht="25.5" customHeight="1" x14ac:dyDescent="0.25">
      <c r="A157" s="150" t="s">
        <v>186</v>
      </c>
      <c r="B157" s="150"/>
      <c r="C157" s="150"/>
      <c r="D157" s="150"/>
      <c r="E157" s="150"/>
      <c r="F157" s="150"/>
      <c r="G157" s="150"/>
      <c r="H157" s="150"/>
      <c r="I157" s="150"/>
      <c r="J157" s="150"/>
      <c r="K157" s="150"/>
    </row>
    <row r="158" spans="1:11" ht="23.25" customHeight="1" x14ac:dyDescent="0.25">
      <c r="A158" s="20" t="s">
        <v>180</v>
      </c>
      <c r="B158" s="20" t="s">
        <v>187</v>
      </c>
      <c r="C158" s="20" t="s">
        <v>188</v>
      </c>
      <c r="D158" s="20" t="s">
        <v>189</v>
      </c>
      <c r="E158" s="20" t="s">
        <v>190</v>
      </c>
      <c r="F158" s="20" t="s">
        <v>191</v>
      </c>
      <c r="G158" s="20" t="s">
        <v>192</v>
      </c>
      <c r="H158" s="20" t="s">
        <v>193</v>
      </c>
      <c r="I158" s="20" t="s">
        <v>194</v>
      </c>
      <c r="J158" s="20" t="s">
        <v>195</v>
      </c>
      <c r="K158" s="20" t="s">
        <v>36</v>
      </c>
    </row>
    <row r="159" spans="1:11" ht="15" customHeight="1" x14ac:dyDescent="0.25">
      <c r="A159" s="76" t="s">
        <v>196</v>
      </c>
      <c r="B159" s="72">
        <v>46133</v>
      </c>
      <c r="C159" s="77">
        <f>COUNTIF(E5:E154,"Wk 1 (21 Apr)")</f>
        <v>1</v>
      </c>
      <c r="D159" s="78">
        <f>SUMPRODUCT((E5:E154="Wk 1 (21 Apr)")*(G5:G154="Cash")*(F5:F154))</f>
        <v>0</v>
      </c>
      <c r="E159" s="78">
        <f>SUMPRODUCT((E5:E154="Wk 1 (21 Apr)")*((G5:G154="MTN MoMo")+(G5:G154="Vodafone Cash")+(G5:G154="AirtelTigo Money"))*(F5:F154))</f>
        <v>0</v>
      </c>
      <c r="F159" s="78">
        <f>SUMPRODUCT((E5:E154="Wk 1 (21 Apr)")*(G5:G154="Bank Transfer")*(F5:F154))</f>
        <v>1500</v>
      </c>
      <c r="G159" s="78">
        <f>SUMPRODUCT((E5:E154="Wk 1 (21 Apr)")*(G5:G154="Cheque")*(F5:F154))</f>
        <v>0</v>
      </c>
      <c r="H159" s="79">
        <f t="shared" ref="H159:H172" si="5">SUM(D159:G159)</f>
        <v>1500</v>
      </c>
      <c r="I159" s="60">
        <f>H159</f>
        <v>1500</v>
      </c>
      <c r="J159" s="77"/>
      <c r="K159" s="80"/>
    </row>
    <row r="160" spans="1:11" ht="15" customHeight="1" x14ac:dyDescent="0.25">
      <c r="A160" s="81" t="s">
        <v>197</v>
      </c>
      <c r="B160" s="74">
        <v>46140</v>
      </c>
      <c r="C160" s="82">
        <f>COUNTIF(E5:E154,"Wk 2 (28 Apr)")</f>
        <v>0</v>
      </c>
      <c r="D160" s="83">
        <f>SUMPRODUCT((E5:E154="Wk 2 (28 Apr)")*(G5:G154="Cash")*(F5:F154))</f>
        <v>0</v>
      </c>
      <c r="E160" s="83">
        <f>SUMPRODUCT((E5:E154="Wk 2 (28 Apr)")*((G5:G154="MTN MoMo")+(G5:G154="Vodafone Cash")+(G5:G154="AirtelTigo Money"))*(F5:F154))</f>
        <v>0</v>
      </c>
      <c r="F160" s="83">
        <f>SUMPRODUCT((E5:E154="Wk 2 (28 Apr)")*(G5:G154="Bank Transfer")*(F5:F154))</f>
        <v>0</v>
      </c>
      <c r="G160" s="83">
        <f>SUMPRODUCT((E5:E154="Wk 2 (28 Apr)")*(G5:G154="Cheque")*(F5:F154))</f>
        <v>0</v>
      </c>
      <c r="H160" s="84">
        <f t="shared" si="5"/>
        <v>0</v>
      </c>
      <c r="I160" s="65">
        <f t="shared" ref="I160:I172" si="6">I159+H160</f>
        <v>1500</v>
      </c>
      <c r="J160" s="82"/>
      <c r="K160" s="85"/>
    </row>
    <row r="161" spans="1:11" ht="15" customHeight="1" x14ac:dyDescent="0.25">
      <c r="A161" s="76" t="s">
        <v>198</v>
      </c>
      <c r="B161" s="72">
        <v>46147</v>
      </c>
      <c r="C161" s="77">
        <f>COUNTIF(E5:E154,"Wk 3 (05 May)")</f>
        <v>0</v>
      </c>
      <c r="D161" s="78">
        <f>SUMPRODUCT((E5:E154="Wk 3 (05 May)")*(G5:G154="Cash")*(F5:F154))</f>
        <v>0</v>
      </c>
      <c r="E161" s="78">
        <f>SUMPRODUCT((E5:E154="Wk 3 (05 May)")*((G5:G154="MTN MoMo")+(G5:G154="Vodafone Cash")+(G5:G154="AirtelTigo Money"))*(F5:F154))</f>
        <v>0</v>
      </c>
      <c r="F161" s="78">
        <f>SUMPRODUCT((E5:E154="Wk 3 (05 May)")*(G5:G154="Bank Transfer")*(F5:F154))</f>
        <v>0</v>
      </c>
      <c r="G161" s="78">
        <f>SUMPRODUCT((E5:E154="Wk 3 (05 May)")*(G5:G154="Cheque")*(F5:F154))</f>
        <v>0</v>
      </c>
      <c r="H161" s="79">
        <f t="shared" si="5"/>
        <v>0</v>
      </c>
      <c r="I161" s="60">
        <f t="shared" si="6"/>
        <v>1500</v>
      </c>
      <c r="J161" s="77"/>
      <c r="K161" s="80"/>
    </row>
    <row r="162" spans="1:11" ht="15" customHeight="1" x14ac:dyDescent="0.25">
      <c r="A162" s="81" t="s">
        <v>199</v>
      </c>
      <c r="B162" s="74">
        <v>46154</v>
      </c>
      <c r="C162" s="82">
        <f>COUNTIF(E5:E154,"Wk 4 (12 May)")</f>
        <v>0</v>
      </c>
      <c r="D162" s="83">
        <f>SUMPRODUCT((E5:E154="Wk 4 (12 May)")*(G5:G154="Cash")*(F5:F154))</f>
        <v>0</v>
      </c>
      <c r="E162" s="83">
        <f>SUMPRODUCT((E5:E154="Wk 4 (12 May)")*((G5:G154="MTN MoMo")+(G5:G154="Vodafone Cash")+(G5:G154="AirtelTigo Money"))*(F5:F154))</f>
        <v>0</v>
      </c>
      <c r="F162" s="83">
        <f>SUMPRODUCT((E5:E154="Wk 4 (12 May)")*(G5:G154="Bank Transfer")*(F5:F154))</f>
        <v>0</v>
      </c>
      <c r="G162" s="83">
        <f>SUMPRODUCT((E5:E154="Wk 4 (12 May)")*(G5:G154="Cheque")*(F5:F154))</f>
        <v>0</v>
      </c>
      <c r="H162" s="84">
        <f t="shared" si="5"/>
        <v>0</v>
      </c>
      <c r="I162" s="65">
        <f t="shared" si="6"/>
        <v>1500</v>
      </c>
      <c r="J162" s="82"/>
      <c r="K162" s="85"/>
    </row>
    <row r="163" spans="1:11" ht="15" customHeight="1" x14ac:dyDescent="0.25">
      <c r="A163" s="76" t="s">
        <v>200</v>
      </c>
      <c r="B163" s="72">
        <v>46161</v>
      </c>
      <c r="C163" s="77">
        <f>COUNTIF(E5:E154,"Wk 5 (19 May)")</f>
        <v>1</v>
      </c>
      <c r="D163" s="78">
        <f>SUMPRODUCT((E5:E154="Wk 5 (19 May)")*(G5:G154="Cash")*(F5:F154))</f>
        <v>0</v>
      </c>
      <c r="E163" s="78">
        <f>SUMPRODUCT((E5:E154="Wk 5 (19 May)")*((G5:G154="MTN MoMo")+(G5:G154="Vodafone Cash")+(G5:G154="AirtelTigo Money"))*(F5:F154))</f>
        <v>0</v>
      </c>
      <c r="F163" s="78">
        <f>SUMPRODUCT((E5:E154="Wk 5 (19 May)")*(G5:G154="Bank Transfer")*(F5:F154))</f>
        <v>1700</v>
      </c>
      <c r="G163" s="78">
        <f>SUMPRODUCT((E5:E154="Wk 5 (19 May)")*(G5:G154="Cheque")*(F5:F154))</f>
        <v>0</v>
      </c>
      <c r="H163" s="79">
        <f t="shared" si="5"/>
        <v>1700</v>
      </c>
      <c r="I163" s="60">
        <f t="shared" si="6"/>
        <v>3200</v>
      </c>
      <c r="J163" s="77"/>
      <c r="K163" s="80"/>
    </row>
    <row r="164" spans="1:11" ht="15" customHeight="1" x14ac:dyDescent="0.25">
      <c r="A164" s="81" t="s">
        <v>201</v>
      </c>
      <c r="B164" s="74">
        <v>46168</v>
      </c>
      <c r="C164" s="82">
        <f>COUNTIF(E5:E154,"Wk 6 (26 May)")</f>
        <v>0</v>
      </c>
      <c r="D164" s="83">
        <f>SUMPRODUCT((E5:E154="Wk 6 (26 May)")*(G5:G154="Cash")*(F5:F154))</f>
        <v>0</v>
      </c>
      <c r="E164" s="83">
        <f>SUMPRODUCT((E5:E154="Wk 6 (26 May)")*((G5:G154="MTN MoMo")+(G5:G154="Vodafone Cash")+(G5:G154="AirtelTigo Money"))*(F5:F154))</f>
        <v>0</v>
      </c>
      <c r="F164" s="83">
        <f>SUMPRODUCT((E5:E154="Wk 6 (26 May)")*(G5:G154="Bank Transfer")*(F5:F154))</f>
        <v>0</v>
      </c>
      <c r="G164" s="83">
        <f>SUMPRODUCT((E5:E154="Wk 6 (26 May)")*(G5:G154="Cheque")*(F5:F154))</f>
        <v>0</v>
      </c>
      <c r="H164" s="84">
        <f t="shared" si="5"/>
        <v>0</v>
      </c>
      <c r="I164" s="65">
        <f t="shared" si="6"/>
        <v>3200</v>
      </c>
      <c r="J164" s="82"/>
      <c r="K164" s="85"/>
    </row>
    <row r="165" spans="1:11" ht="15" customHeight="1" x14ac:dyDescent="0.25">
      <c r="A165" s="76" t="s">
        <v>202</v>
      </c>
      <c r="B165" s="72">
        <v>46175</v>
      </c>
      <c r="C165" s="77">
        <f>COUNTIF(E5:E154,"Wk 7 (02 Jun)")</f>
        <v>0</v>
      </c>
      <c r="D165" s="78">
        <f>SUMPRODUCT((E5:E154="Wk 7 (02 Jun)")*(G5:G154="Cash")*(F5:F154))</f>
        <v>0</v>
      </c>
      <c r="E165" s="78">
        <f>SUMPRODUCT((E5:E154="Wk 7 (02 Jun)")*((G5:G154="MTN MoMo")+(G5:G154="Vodafone Cash")+(G5:G154="AirtelTigo Money"))*(F5:F154))</f>
        <v>0</v>
      </c>
      <c r="F165" s="78">
        <f>SUMPRODUCT((E5:E154="Wk 7 (02 Jun)")*(G5:G154="Bank Transfer")*(F5:F154))</f>
        <v>0</v>
      </c>
      <c r="G165" s="78">
        <f>SUMPRODUCT((E5:E154="Wk 7 (02 Jun)")*(G5:G154="Cheque")*(F5:F154))</f>
        <v>0</v>
      </c>
      <c r="H165" s="79">
        <f t="shared" si="5"/>
        <v>0</v>
      </c>
      <c r="I165" s="60">
        <f t="shared" si="6"/>
        <v>3200</v>
      </c>
      <c r="J165" s="77"/>
      <c r="K165" s="80"/>
    </row>
    <row r="166" spans="1:11" ht="15" customHeight="1" x14ac:dyDescent="0.25">
      <c r="A166" s="81" t="s">
        <v>203</v>
      </c>
      <c r="B166" s="74">
        <v>46182</v>
      </c>
      <c r="C166" s="82">
        <f>COUNTIF(E5:E154,"Wk 8 (09 Jun)")</f>
        <v>0</v>
      </c>
      <c r="D166" s="83">
        <f>SUMPRODUCT((E5:E154="Wk 8 (09 Jun)")*(G5:G154="Cash")*(F5:F154))</f>
        <v>0</v>
      </c>
      <c r="E166" s="83">
        <f>SUMPRODUCT((E5:E154="Wk 8 (09 Jun)")*((G5:G154="MTN MoMo")+(G5:G154="Vodafone Cash")+(G5:G154="AirtelTigo Money"))*(F5:F154))</f>
        <v>0</v>
      </c>
      <c r="F166" s="83">
        <f>SUMPRODUCT((E5:E154="Wk 8 (09 Jun)")*(G5:G154="Bank Transfer")*(F5:F154))</f>
        <v>0</v>
      </c>
      <c r="G166" s="83">
        <f>SUMPRODUCT((E5:E154="Wk 8 (09 Jun)")*(G5:G154="Cheque")*(F5:F154))</f>
        <v>0</v>
      </c>
      <c r="H166" s="84">
        <f t="shared" si="5"/>
        <v>0</v>
      </c>
      <c r="I166" s="65">
        <f t="shared" si="6"/>
        <v>3200</v>
      </c>
      <c r="J166" s="82"/>
      <c r="K166" s="85"/>
    </row>
    <row r="167" spans="1:11" ht="15" customHeight="1" x14ac:dyDescent="0.25">
      <c r="A167" s="76" t="s">
        <v>204</v>
      </c>
      <c r="B167" s="72">
        <v>46189</v>
      </c>
      <c r="C167" s="77">
        <f>COUNTIF(E5:E154,"Wk 9 (16 Jun)")</f>
        <v>0</v>
      </c>
      <c r="D167" s="78">
        <f>SUMPRODUCT((E5:E154="Wk 9 (16 Jun)")*(G5:G154="Cash")*(F5:F154))</f>
        <v>0</v>
      </c>
      <c r="E167" s="78">
        <f>SUMPRODUCT((E5:E154="Wk 9 (16 Jun)")*((G5:G154="MTN MoMo")+(G5:G154="Vodafone Cash")+(G5:G154="AirtelTigo Money"))*(F5:F154))</f>
        <v>0</v>
      </c>
      <c r="F167" s="78">
        <f>SUMPRODUCT((E5:E154="Wk 9 (16 Jun)")*(G5:G154="Bank Transfer")*(F5:F154))</f>
        <v>0</v>
      </c>
      <c r="G167" s="78">
        <f>SUMPRODUCT((E5:E154="Wk 9 (16 Jun)")*(G5:G154="Cheque")*(F5:F154))</f>
        <v>0</v>
      </c>
      <c r="H167" s="79">
        <f t="shared" si="5"/>
        <v>0</v>
      </c>
      <c r="I167" s="60">
        <f t="shared" si="6"/>
        <v>3200</v>
      </c>
      <c r="J167" s="77"/>
      <c r="K167" s="80"/>
    </row>
    <row r="168" spans="1:11" ht="21.75" customHeight="1" x14ac:dyDescent="0.25">
      <c r="A168" s="81" t="s">
        <v>205</v>
      </c>
      <c r="B168" s="74">
        <v>46196</v>
      </c>
      <c r="C168" s="82">
        <f>COUNTIF(E5:E154,"Wk 10 (23 Jun)")</f>
        <v>0</v>
      </c>
      <c r="D168" s="83">
        <f>SUMPRODUCT((E5:E154="Wk 10 (23 Jun)")*(G5:G154="Cash")*(F5:F154))</f>
        <v>0</v>
      </c>
      <c r="E168" s="83">
        <f>SUMPRODUCT((E5:E154="Wk 10 (23 Jun)")*((G5:G154="MTN MoMo")+(G5:G154="Vodafone Cash")+(G5:G154="AirtelTigo Money"))*(F5:F154))</f>
        <v>0</v>
      </c>
      <c r="F168" s="83">
        <f>SUMPRODUCT((E5:E154="Wk 10 (23 Jun)")*(G5:G154="Bank Transfer")*(F5:F154))</f>
        <v>0</v>
      </c>
      <c r="G168" s="83">
        <f>SUMPRODUCT((E5:E154="Wk 10 (23 Jun)")*(G5:G154="Cheque")*(F5:F154))</f>
        <v>0</v>
      </c>
      <c r="H168" s="84">
        <f t="shared" si="5"/>
        <v>0</v>
      </c>
      <c r="I168" s="65">
        <f t="shared" si="6"/>
        <v>3200</v>
      </c>
      <c r="J168" s="82"/>
      <c r="K168" s="85"/>
    </row>
    <row r="169" spans="1:11" ht="21.75" customHeight="1" x14ac:dyDescent="0.25">
      <c r="A169" s="76" t="s">
        <v>206</v>
      </c>
      <c r="B169" s="72">
        <v>46203</v>
      </c>
      <c r="C169" s="77">
        <f>COUNTIF(E5:E154,"Wk 11 (30 Jun)")</f>
        <v>0</v>
      </c>
      <c r="D169" s="78">
        <f>SUMPRODUCT((E5:E154="Wk 11 (30 Jun)")*(G5:G154="Cash")*(F5:F154))</f>
        <v>0</v>
      </c>
      <c r="E169" s="78">
        <f>SUMPRODUCT((E5:E154="Wk 11 (30 Jun)")*((G5:G154="MTN MoMo")+(G5:G154="Vodafone Cash")+(G5:G154="AirtelTigo Money"))*(F5:F154))</f>
        <v>0</v>
      </c>
      <c r="F169" s="78">
        <f>SUMPRODUCT((E5:E154="Wk 11 (30 Jun)")*(G5:G154="Bank Transfer")*(F5:F154))</f>
        <v>0</v>
      </c>
      <c r="G169" s="78">
        <f>SUMPRODUCT((E5:E154="Wk 11 (30 Jun)")*(G5:G154="Cheque")*(F5:F154))</f>
        <v>0</v>
      </c>
      <c r="H169" s="79">
        <f t="shared" si="5"/>
        <v>0</v>
      </c>
      <c r="I169" s="60">
        <f t="shared" si="6"/>
        <v>3200</v>
      </c>
      <c r="J169" s="77"/>
      <c r="K169" s="80"/>
    </row>
    <row r="170" spans="1:11" ht="18.75" customHeight="1" x14ac:dyDescent="0.25">
      <c r="A170" s="81" t="s">
        <v>207</v>
      </c>
      <c r="B170" s="74">
        <v>46210</v>
      </c>
      <c r="C170" s="82">
        <f>COUNTIF(E5:E154,"Wk 12 (07 Jul)")</f>
        <v>0</v>
      </c>
      <c r="D170" s="83">
        <f>SUMPRODUCT((E5:E154="Wk 12 (07 Jul)")*(G5:G154="Cash")*(F5:F154))</f>
        <v>0</v>
      </c>
      <c r="E170" s="83">
        <f>SUMPRODUCT((E5:E154="Wk 12 (07 Jul)")*((G5:G154="MTN MoMo")+(G5:G154="Vodafone Cash")+(G5:G154="AirtelTigo Money"))*(F5:F154))</f>
        <v>0</v>
      </c>
      <c r="F170" s="83">
        <f>SUMPRODUCT((E5:E154="Wk 12 (07 Jul)")*(G5:G154="Bank Transfer")*(F5:F154))</f>
        <v>0</v>
      </c>
      <c r="G170" s="83">
        <f>SUMPRODUCT((E5:E154="Wk 12 (07 Jul)")*(G5:G154="Cheque")*(F5:F154))</f>
        <v>0</v>
      </c>
      <c r="H170" s="84">
        <f t="shared" si="5"/>
        <v>0</v>
      </c>
      <c r="I170" s="65">
        <f t="shared" si="6"/>
        <v>3200</v>
      </c>
      <c r="J170" s="86" t="s">
        <v>208</v>
      </c>
      <c r="K170" s="85"/>
    </row>
    <row r="171" spans="1:11" ht="18.75" customHeight="1" x14ac:dyDescent="0.25">
      <c r="A171" s="76" t="s">
        <v>209</v>
      </c>
      <c r="B171" s="72">
        <v>46217</v>
      </c>
      <c r="C171" s="77">
        <f>COUNTIF(E5:E154,"Wk 13 (14 Jul)")</f>
        <v>0</v>
      </c>
      <c r="D171" s="78">
        <f>SUMPRODUCT((E5:E154="Wk 13 (14 Jul)")*(G5:G154="Cash")*(F5:F154))</f>
        <v>0</v>
      </c>
      <c r="E171" s="78">
        <f>SUMPRODUCT((E5:E154="Wk 13 (14 Jul)")*((G5:G154="MTN MoMo")+(G5:G154="Vodafone Cash")+(G5:G154="AirtelTigo Money"))*(F5:F154))</f>
        <v>0</v>
      </c>
      <c r="F171" s="78">
        <f>SUMPRODUCT((E5:E154="Wk 13 (14 Jul)")*(G5:G154="Bank Transfer")*(F5:F154))</f>
        <v>0</v>
      </c>
      <c r="G171" s="78">
        <f>SUMPRODUCT((E5:E154="Wk 13 (14 Jul)")*(G5:G154="Cheque")*(F5:F154))</f>
        <v>0</v>
      </c>
      <c r="H171" s="79">
        <f t="shared" si="5"/>
        <v>0</v>
      </c>
      <c r="I171" s="60">
        <f t="shared" si="6"/>
        <v>3200</v>
      </c>
      <c r="J171" s="87" t="s">
        <v>208</v>
      </c>
      <c r="K171" s="80"/>
    </row>
    <row r="172" spans="1:11" ht="18.75" customHeight="1" x14ac:dyDescent="0.25">
      <c r="A172" s="81" t="s">
        <v>210</v>
      </c>
      <c r="B172" s="74">
        <v>46224</v>
      </c>
      <c r="C172" s="82">
        <f>COUNTIF(E5:E154,"Wk 14 (21 Jul)")</f>
        <v>0</v>
      </c>
      <c r="D172" s="83">
        <f>SUMPRODUCT((E5:E154="Wk 14 (21 Jul)")*(G5:G154="Cash")*(F5:F154))</f>
        <v>0</v>
      </c>
      <c r="E172" s="83">
        <f>SUMPRODUCT((E5:E154="Wk 14 (21 Jul)")*((G5:G154="MTN MoMo")+(G5:G154="Vodafone Cash")+(G5:G154="AirtelTigo Money"))*(F5:F154))</f>
        <v>0</v>
      </c>
      <c r="F172" s="83">
        <f>SUMPRODUCT((E5:E154="Wk 14 (21 Jul)")*(G5:G154="Bank Transfer")*(F5:F154))</f>
        <v>0</v>
      </c>
      <c r="G172" s="83">
        <f>SUMPRODUCT((E5:E154="Wk 14 (21 Jul)")*(G5:G154="Cheque")*(F5:F154))</f>
        <v>0</v>
      </c>
      <c r="H172" s="84">
        <f t="shared" si="5"/>
        <v>0</v>
      </c>
      <c r="I172" s="65">
        <f t="shared" si="6"/>
        <v>3200</v>
      </c>
      <c r="J172" s="86" t="s">
        <v>208</v>
      </c>
      <c r="K172" s="85"/>
    </row>
    <row r="173" spans="1:11" ht="15" customHeight="1" x14ac:dyDescent="0.25">
      <c r="A173" s="28" t="s">
        <v>211</v>
      </c>
      <c r="B173" s="28"/>
      <c r="C173" s="88">
        <f t="shared" ref="C173:H173" si="7">SUM(C159:C172)</f>
        <v>2</v>
      </c>
      <c r="D173" s="29">
        <f t="shared" si="7"/>
        <v>0</v>
      </c>
      <c r="E173" s="29">
        <f t="shared" si="7"/>
        <v>0</v>
      </c>
      <c r="F173" s="29">
        <f t="shared" si="7"/>
        <v>3200</v>
      </c>
      <c r="G173" s="29">
        <f t="shared" si="7"/>
        <v>0</v>
      </c>
      <c r="H173" s="29">
        <f t="shared" si="7"/>
        <v>3200</v>
      </c>
      <c r="I173" s="28"/>
      <c r="J173" s="28"/>
      <c r="K173" s="28"/>
    </row>
    <row r="176" spans="1:11" ht="15" customHeight="1" x14ac:dyDescent="0.25">
      <c r="A176" s="150" t="s">
        <v>212</v>
      </c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</row>
    <row r="177" spans="1:11" ht="23.25" customHeight="1" x14ac:dyDescent="0.25">
      <c r="A177" s="8" t="s">
        <v>213</v>
      </c>
      <c r="B177" s="8" t="s">
        <v>214</v>
      </c>
      <c r="C177" s="8" t="s">
        <v>189</v>
      </c>
      <c r="D177" s="8" t="s">
        <v>190</v>
      </c>
      <c r="E177" s="8" t="s">
        <v>191</v>
      </c>
      <c r="F177" s="8" t="s">
        <v>192</v>
      </c>
      <c r="G177" s="8" t="s">
        <v>215</v>
      </c>
      <c r="H177" s="8" t="s">
        <v>194</v>
      </c>
      <c r="I177" s="8" t="s">
        <v>216</v>
      </c>
      <c r="J177" s="8" t="s">
        <v>217</v>
      </c>
      <c r="K177" s="8" t="s">
        <v>36</v>
      </c>
    </row>
    <row r="178" spans="1:11" ht="15" customHeight="1" x14ac:dyDescent="0.25">
      <c r="A178" s="89" t="s">
        <v>218</v>
      </c>
      <c r="B178" s="90">
        <f>SUMPRODUCT((MONTH(A5:A154)=4)*(A5:A154&lt;&gt;""))</f>
        <v>1</v>
      </c>
      <c r="C178" s="78">
        <f>SUMPRODUCT((MONTH(A5:A154)=4)*(G5:G154="Cash")*(F5:F154))</f>
        <v>0</v>
      </c>
      <c r="D178" s="78">
        <f>SUMPRODUCT((MONTH(A5:A154)=4)*((G5:G154="MTN MoMo")+(G5:G154="Vodafone Cash")+(G5:G154="AirtelTigo Money"))*(F5:F154))</f>
        <v>0</v>
      </c>
      <c r="E178" s="78">
        <f>SUMPRODUCT((MONTH(A5:A154)=4)*(G5:G154="Bank Transfer")*(F5:F154))</f>
        <v>1500</v>
      </c>
      <c r="F178" s="78">
        <f>SUMPRODUCT((MONTH(A5:A154)=4)*(G5:G154="Cheque")*(F5:F154))</f>
        <v>0</v>
      </c>
      <c r="G178" s="79">
        <f>SUM(C178:F178)</f>
        <v>1500</v>
      </c>
      <c r="H178" s="60">
        <f>G178</f>
        <v>1500</v>
      </c>
      <c r="I178" s="91">
        <v>0.3</v>
      </c>
      <c r="J178" s="78"/>
      <c r="K178" s="92"/>
    </row>
    <row r="179" spans="1:11" ht="15" customHeight="1" x14ac:dyDescent="0.25">
      <c r="A179" s="93" t="s">
        <v>219</v>
      </c>
      <c r="B179" s="94">
        <f>SUMPRODUCT((MONTH(A5:A154)=5)*(A5:A154&lt;&gt;""))</f>
        <v>1</v>
      </c>
      <c r="C179" s="83">
        <f>SUMPRODUCT((MONTH(A5:A154)=5)*(G5:G154="Cash")*(F5:F154))</f>
        <v>0</v>
      </c>
      <c r="D179" s="83">
        <f>SUMPRODUCT((MONTH(A5:A154)=5)*((G5:G154="MTN MoMo")+(G5:G154="Vodafone Cash")+(G5:G154="AirtelTigo Money"))*(F5:F154))</f>
        <v>0</v>
      </c>
      <c r="E179" s="83">
        <f>SUMPRODUCT((MONTH(A5:A154)=5)*(G5:G154="Bank Transfer")*(F5:F154))</f>
        <v>1700</v>
      </c>
      <c r="F179" s="83">
        <f>SUMPRODUCT((MONTH(A5:A154)=5)*(G5:G154="Cheque")*(F5:F154))</f>
        <v>0</v>
      </c>
      <c r="G179" s="84">
        <f>SUM(C179:F179)</f>
        <v>1700</v>
      </c>
      <c r="H179" s="65">
        <f>H178+G179</f>
        <v>3200</v>
      </c>
      <c r="I179" s="95">
        <v>0.65</v>
      </c>
      <c r="J179" s="83"/>
      <c r="K179" s="96"/>
    </row>
    <row r="180" spans="1:11" ht="15" customHeight="1" x14ac:dyDescent="0.25">
      <c r="A180" s="89" t="s">
        <v>220</v>
      </c>
      <c r="B180" s="90">
        <f>SUMPRODUCT((MONTH(A5:A154)=6)*(A5:A154&lt;&gt;""))</f>
        <v>0</v>
      </c>
      <c r="C180" s="78">
        <f>SUMPRODUCT((MONTH(A5:A154)=6)*(G5:G154="Cash")*(F5:F154))</f>
        <v>0</v>
      </c>
      <c r="D180" s="78">
        <f>SUMPRODUCT((MONTH(A5:A154)=6)*((G5:G154="MTN MoMo")+(G5:G154="Vodafone Cash")+(G5:G154="AirtelTigo Money"))*(F5:F154))</f>
        <v>0</v>
      </c>
      <c r="E180" s="78">
        <f>SUMPRODUCT((MONTH(A5:A154)=6)*(G5:G154="Bank Transfer")*(F5:F154))</f>
        <v>0</v>
      </c>
      <c r="F180" s="78">
        <f>SUMPRODUCT((MONTH(A5:A154)=6)*(G5:G154="Cheque")*(F5:F154))</f>
        <v>0</v>
      </c>
      <c r="G180" s="79">
        <f>SUM(C180:F180)</f>
        <v>0</v>
      </c>
      <c r="H180" s="60">
        <f>H179+G180</f>
        <v>3200</v>
      </c>
      <c r="I180" s="91">
        <v>1</v>
      </c>
      <c r="J180" s="78"/>
      <c r="K180" s="92"/>
    </row>
    <row r="181" spans="1:11" ht="15" customHeight="1" x14ac:dyDescent="0.25">
      <c r="A181" s="93" t="s">
        <v>221</v>
      </c>
      <c r="B181" s="94">
        <f>SUMPRODUCT((MONTH(A5:A154)=7)*(A5:A154&lt;&gt;""))</f>
        <v>0</v>
      </c>
      <c r="C181" s="83">
        <f>SUMPRODUCT((MONTH(A5:A154)=7)*(G5:G154="Cash")*(F5:F154))</f>
        <v>0</v>
      </c>
      <c r="D181" s="83">
        <f>SUMPRODUCT((MONTH(A5:A154)=7)*((G5:G154="MTN MoMo")+(G5:G154="Vodafone Cash")+(G5:G154="AirtelTigo Money"))*(F5:F154))</f>
        <v>0</v>
      </c>
      <c r="E181" s="83">
        <f>SUMPRODUCT((MONTH(A5:A154)=7)*(G5:G154="Bank Transfer")*(F5:F154))</f>
        <v>0</v>
      </c>
      <c r="F181" s="83">
        <f>SUMPRODUCT((MONTH(A5:A154)=7)*(G5:G154="Cheque")*(F5:F154))</f>
        <v>0</v>
      </c>
      <c r="G181" s="84">
        <f>SUM(C181:F181)</f>
        <v>0</v>
      </c>
      <c r="H181" s="65">
        <f>H180+G181</f>
        <v>3200</v>
      </c>
      <c r="I181" s="95">
        <v>1</v>
      </c>
      <c r="J181" s="83"/>
      <c r="K181" s="96"/>
    </row>
    <row r="182" spans="1:11" ht="15" customHeight="1" x14ac:dyDescent="0.25">
      <c r="A182" s="28" t="s">
        <v>222</v>
      </c>
      <c r="B182" s="88">
        <f t="shared" ref="B182:G182" si="8">SUM(B178:B181)</f>
        <v>2</v>
      </c>
      <c r="C182" s="29">
        <f t="shared" si="8"/>
        <v>0</v>
      </c>
      <c r="D182" s="29">
        <f t="shared" si="8"/>
        <v>0</v>
      </c>
      <c r="E182" s="29">
        <f t="shared" si="8"/>
        <v>3200</v>
      </c>
      <c r="F182" s="29">
        <f t="shared" si="8"/>
        <v>0</v>
      </c>
      <c r="G182" s="29">
        <f t="shared" si="8"/>
        <v>3200</v>
      </c>
      <c r="H182" s="28"/>
      <c r="I182" s="28"/>
      <c r="J182" s="28"/>
      <c r="K182" s="28"/>
    </row>
  </sheetData>
  <mergeCells count="7">
    <mergeCell ref="A157:K157"/>
    <mergeCell ref="A176:K176"/>
    <mergeCell ref="A1:K1"/>
    <mergeCell ref="A2:K2"/>
    <mergeCell ref="A3:F3"/>
    <mergeCell ref="G3:I3"/>
    <mergeCell ref="J3:K3"/>
  </mergeCells>
  <dataValidations count="6">
    <dataValidation type="list" allowBlank="1" showInputMessage="1" promptTitle="Pupil Name" prompt="Select the pupil making the payment" sqref="C5:C154" xr:uid="{00000000-0002-0000-1500-000000000000}">
      <formula1>$P$1:$P$3</formula1>
      <formula2>0</formula2>
    </dataValidation>
    <dataValidation type="list" allowBlank="1" showInputMessage="1" promptTitle="Week" prompt="Select the week of payment" sqref="E5:E154" xr:uid="{00000000-0002-0000-1500-000001000000}">
      <formula1>"Wk 1 (21 Apr),Wk 2 (28 Apr),Wk 3 (05 May),Wk 4 (12 May),Wk 5 (19 May),Wk 6 (26 May),Wk 7 (02 Jun),Wk 8 (09 Jun),Wk 9 (16 Jun),Wk 10 (23 Jun),Wk 11 (30 Jun),Wk 12 (07 Jul),Wk 13 (14 Jul),Wk 14 (21 Jul)"</formula1>
      <formula2>0</formula2>
    </dataValidation>
    <dataValidation type="list" allowBlank="1" sqref="G5:G154" xr:uid="{00000000-0002-0000-1500-000002000000}">
      <formula1>"Cash,MTN MoMo,Vodafone Cash,AirtelTigo Money,Bank Transfer,Cheque"</formula1>
      <formula2>0</formula2>
    </dataValidation>
    <dataValidation type="list" allowBlank="1" sqref="D5:D154" xr:uid="{00000000-0002-0000-1500-000003000000}">
      <formula1>"Term 3,Term 2 Arrears,Term 1 Arrears"</formula1>
      <formula2>0</formula2>
    </dataValidation>
    <dataValidation type="list" allowBlank="1" sqref="J5:J154" xr:uid="{00000000-0002-0000-1500-000004000000}">
      <formula1>"Yes,No,Pending"</formula1>
      <formula2>0</formula2>
    </dataValidation>
    <dataValidation type="list" allowBlank="1" sqref="H5:H154" xr:uid="{00000000-0002-0000-1500-000005000000}">
      <formula1>"Dorcas Matilda Akosua Kusi,Hannah Ayorkor Laryea,Other"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E765-DFCF-47C0-B2DA-341DD0DF5072}">
  <dimension ref="B1:D54"/>
  <sheetViews>
    <sheetView topLeftCell="A16" workbookViewId="0">
      <selection activeCell="E26" sqref="E26"/>
    </sheetView>
  </sheetViews>
  <sheetFormatPr defaultRowHeight="15" x14ac:dyDescent="0.25"/>
  <cols>
    <col min="2" max="2" width="28" customWidth="1"/>
    <col min="3" max="3" width="28.42578125" customWidth="1"/>
    <col min="4" max="4" width="24.85546875" customWidth="1"/>
  </cols>
  <sheetData>
    <row r="1" spans="2:4" x14ac:dyDescent="0.25">
      <c r="B1" t="s">
        <v>365</v>
      </c>
      <c r="C1" t="s">
        <v>69</v>
      </c>
      <c r="D1" t="s">
        <v>366</v>
      </c>
    </row>
    <row r="5" spans="2:4" x14ac:dyDescent="0.25">
      <c r="B5" s="118" t="s">
        <v>394</v>
      </c>
    </row>
    <row r="12" spans="2:4" x14ac:dyDescent="0.25">
      <c r="B12" t="s">
        <v>383</v>
      </c>
    </row>
    <row r="14" spans="2:4" x14ac:dyDescent="0.25">
      <c r="B14" t="s">
        <v>393</v>
      </c>
      <c r="D14">
        <v>900</v>
      </c>
    </row>
    <row r="15" spans="2:4" x14ac:dyDescent="0.25">
      <c r="B15" t="s">
        <v>384</v>
      </c>
      <c r="D15">
        <v>0</v>
      </c>
    </row>
    <row r="16" spans="2:4" x14ac:dyDescent="0.25">
      <c r="B16" t="s">
        <v>385</v>
      </c>
      <c r="D16" s="117">
        <v>4443</v>
      </c>
    </row>
    <row r="17" spans="2:4" x14ac:dyDescent="0.25">
      <c r="B17" t="s">
        <v>391</v>
      </c>
      <c r="D17" s="117">
        <v>0</v>
      </c>
    </row>
    <row r="18" spans="2:4" x14ac:dyDescent="0.25">
      <c r="B18" t="s">
        <v>392</v>
      </c>
      <c r="D18">
        <v>160</v>
      </c>
    </row>
    <row r="20" spans="2:4" x14ac:dyDescent="0.25">
      <c r="B20" s="118" t="s">
        <v>378</v>
      </c>
    </row>
    <row r="21" spans="2:4" x14ac:dyDescent="0.25">
      <c r="B21" t="s">
        <v>379</v>
      </c>
      <c r="D21">
        <v>617.5</v>
      </c>
    </row>
    <row r="22" spans="2:4" x14ac:dyDescent="0.25">
      <c r="B22" t="s">
        <v>380</v>
      </c>
      <c r="D22" s="117">
        <v>5808</v>
      </c>
    </row>
    <row r="23" spans="2:4" x14ac:dyDescent="0.25">
      <c r="B23" t="s">
        <v>381</v>
      </c>
      <c r="D23">
        <v>500</v>
      </c>
    </row>
    <row r="24" spans="2:4" x14ac:dyDescent="0.25">
      <c r="B24" t="s">
        <v>382</v>
      </c>
      <c r="D24" s="71">
        <v>1422.5</v>
      </c>
    </row>
    <row r="25" spans="2:4" x14ac:dyDescent="0.25">
      <c r="B25" t="s">
        <v>340</v>
      </c>
      <c r="D25" s="71">
        <v>0</v>
      </c>
    </row>
    <row r="27" spans="2:4" x14ac:dyDescent="0.25">
      <c r="B27" s="118" t="s">
        <v>22</v>
      </c>
    </row>
    <row r="28" spans="2:4" x14ac:dyDescent="0.25">
      <c r="B28" t="s">
        <v>377</v>
      </c>
      <c r="D28" s="71">
        <v>1352.5</v>
      </c>
    </row>
    <row r="29" spans="2:4" x14ac:dyDescent="0.25">
      <c r="B29" t="s">
        <v>387</v>
      </c>
      <c r="D29" s="117">
        <v>1200</v>
      </c>
    </row>
    <row r="30" spans="2:4" x14ac:dyDescent="0.25">
      <c r="B30" t="s">
        <v>388</v>
      </c>
      <c r="D30" s="117">
        <v>2900</v>
      </c>
    </row>
    <row r="36" spans="2:4" x14ac:dyDescent="0.25">
      <c r="B36" s="118" t="s">
        <v>24</v>
      </c>
    </row>
    <row r="37" spans="2:4" x14ac:dyDescent="0.25">
      <c r="B37" t="s">
        <v>374</v>
      </c>
      <c r="D37" s="117">
        <v>2200</v>
      </c>
    </row>
    <row r="38" spans="2:4" x14ac:dyDescent="0.25">
      <c r="B38" t="s">
        <v>375</v>
      </c>
      <c r="D38" s="117">
        <v>1200</v>
      </c>
    </row>
    <row r="39" spans="2:4" x14ac:dyDescent="0.25">
      <c r="B39" t="s">
        <v>376</v>
      </c>
      <c r="D39" s="117">
        <v>1200</v>
      </c>
    </row>
    <row r="40" spans="2:4" x14ac:dyDescent="0.25">
      <c r="B40" t="s">
        <v>386</v>
      </c>
      <c r="D40">
        <v>400</v>
      </c>
    </row>
    <row r="42" spans="2:4" x14ac:dyDescent="0.25">
      <c r="B42" s="118" t="s">
        <v>26</v>
      </c>
    </row>
    <row r="43" spans="2:4" x14ac:dyDescent="0.25">
      <c r="B43" t="s">
        <v>370</v>
      </c>
      <c r="D43" s="71">
        <v>1820.1</v>
      </c>
    </row>
    <row r="44" spans="2:4" x14ac:dyDescent="0.25">
      <c r="B44" t="s">
        <v>372</v>
      </c>
      <c r="D44" s="117">
        <v>1520</v>
      </c>
    </row>
    <row r="45" spans="2:4" x14ac:dyDescent="0.25">
      <c r="B45" t="s">
        <v>373</v>
      </c>
      <c r="D45" s="117">
        <v>6015</v>
      </c>
    </row>
    <row r="46" spans="2:4" x14ac:dyDescent="0.25">
      <c r="D46" s="117"/>
    </row>
    <row r="47" spans="2:4" x14ac:dyDescent="0.25">
      <c r="D47" s="117"/>
    </row>
    <row r="48" spans="2:4" x14ac:dyDescent="0.25">
      <c r="B48" s="118" t="s">
        <v>28</v>
      </c>
    </row>
    <row r="49" spans="2:4" x14ac:dyDescent="0.25">
      <c r="B49" t="s">
        <v>369</v>
      </c>
      <c r="D49">
        <v>3050</v>
      </c>
    </row>
    <row r="50" spans="2:4" x14ac:dyDescent="0.25">
      <c r="B50" t="s">
        <v>371</v>
      </c>
      <c r="D50" s="117">
        <v>1670</v>
      </c>
    </row>
    <row r="51" spans="2:4" x14ac:dyDescent="0.25">
      <c r="D51" s="117"/>
    </row>
    <row r="52" spans="2:4" x14ac:dyDescent="0.25">
      <c r="D52" s="117"/>
    </row>
    <row r="53" spans="2:4" x14ac:dyDescent="0.25">
      <c r="B53" s="118" t="s">
        <v>30</v>
      </c>
    </row>
    <row r="54" spans="2:4" x14ac:dyDescent="0.25">
      <c r="B54" t="s">
        <v>368</v>
      </c>
      <c r="D54" s="117">
        <v>3200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Fee Schedule 2025-26</vt:lpstr>
      <vt:lpstr>Summary</vt:lpstr>
      <vt:lpstr>Crèche - Robins</vt:lpstr>
      <vt:lpstr>Crèche - Payments</vt:lpstr>
      <vt:lpstr>Nursery 1 - Starlings</vt:lpstr>
      <vt:lpstr>Nursery 1 - Payments</vt:lpstr>
      <vt:lpstr>Nursery 2 - Goldfinches</vt:lpstr>
      <vt:lpstr>Nursery 2 - Payments</vt:lpstr>
      <vt:lpstr>KG 1 - Kingfishers</vt:lpstr>
      <vt:lpstr>KG 1 - Payments</vt:lpstr>
      <vt:lpstr>KG 2 - Hawks</vt:lpstr>
      <vt:lpstr>KG 2 - Payments</vt:lpstr>
      <vt:lpstr>Grade 1 - Skylarks</vt:lpstr>
      <vt:lpstr>Grade 1 - Payments</vt:lpstr>
      <vt:lpstr>Grade 2 - Kestrels</vt:lpstr>
      <vt:lpstr>Grade 2 - Payments</vt:lpstr>
      <vt:lpstr>Grade 3 - Woodpeckers</vt:lpstr>
      <vt:lpstr>Grade 3 - Payments</vt:lpstr>
      <vt:lpstr>Grade 4 - Nightingales</vt:lpstr>
      <vt:lpstr>Grade 4 - Payments</vt:lpstr>
      <vt:lpstr>Grade 5 - Falcons</vt:lpstr>
      <vt:lpstr>Grade 5 - Payments</vt:lpstr>
      <vt:lpstr>Debtors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Highcrest School</dc:creator>
  <dc:description/>
  <cp:lastModifiedBy>Highcrest  School</cp:lastModifiedBy>
  <cp:revision>0</cp:revision>
  <dcterms:created xsi:type="dcterms:W3CDTF">2026-03-28T13:38:29Z</dcterms:created>
  <dcterms:modified xsi:type="dcterms:W3CDTF">2026-07-23T20:26:51Z</dcterms:modified>
  <dc:language>en-US</dc:language>
</cp:coreProperties>
</file>